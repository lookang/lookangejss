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5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6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7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40" windowWidth="20115" windowHeight="7815" activeTab="1"/>
  </bookViews>
  <sheets>
    <sheet name="Introduction" sheetId="10" r:id="rId1"/>
    <sheet name="SASB" sheetId="1" r:id="rId2"/>
    <sheet name="SBSA" sheetId="7" r:id="rId3"/>
    <sheet name="WASB" sheetId="4" r:id="rId4"/>
    <sheet name="WBSA" sheetId="5" r:id="rId5"/>
    <sheet name="SBWA" sheetId="9" r:id="rId6"/>
    <sheet name="SAWB" sheetId="8" r:id="rId7"/>
    <sheet name="Data" sheetId="6" state="hidden" r:id="rId8"/>
  </sheets>
  <functionGroups builtInGroupCount="17"/>
  <definedNames>
    <definedName name="indicator">Data!$A$6:$A$8</definedName>
    <definedName name="protic">Data!$A$2:$A$3</definedName>
  </definedNames>
  <calcPr calcId="145621"/>
</workbook>
</file>

<file path=xl/calcChain.xml><?xml version="1.0" encoding="utf-8"?>
<calcChain xmlns="http://schemas.openxmlformats.org/spreadsheetml/2006/main">
  <c r="A25" i="10" l="1"/>
  <c r="D20" i="8" l="1"/>
  <c r="D19" i="8"/>
  <c r="D17" i="8"/>
  <c r="D20" i="9"/>
  <c r="D19" i="9"/>
  <c r="D17" i="9"/>
  <c r="D20" i="5"/>
  <c r="D19" i="5"/>
  <c r="D17" i="5"/>
  <c r="D20" i="4"/>
  <c r="D19" i="4"/>
  <c r="D17" i="4"/>
  <c r="D20" i="7"/>
  <c r="D17" i="7"/>
  <c r="D20" i="1"/>
  <c r="D17" i="1"/>
  <c r="D12" i="8" l="1"/>
  <c r="D8" i="8"/>
  <c r="B8" i="8"/>
  <c r="A7" i="8"/>
  <c r="A6" i="8"/>
  <c r="B5" i="8"/>
  <c r="D12" i="9"/>
  <c r="D8" i="9"/>
  <c r="B8" i="9"/>
  <c r="A7" i="9"/>
  <c r="A6" i="9"/>
  <c r="B5" i="9"/>
  <c r="D12" i="5"/>
  <c r="D8" i="5"/>
  <c r="B8" i="5"/>
  <c r="A7" i="5"/>
  <c r="A6" i="5"/>
  <c r="B5" i="5"/>
  <c r="D12" i="4"/>
  <c r="D8" i="4"/>
  <c r="B8" i="4"/>
  <c r="A7" i="4"/>
  <c r="A6" i="4"/>
  <c r="B5" i="4"/>
  <c r="D12" i="7"/>
  <c r="D8" i="7"/>
  <c r="B8" i="7"/>
  <c r="A7" i="7"/>
  <c r="A6" i="7"/>
  <c r="B5" i="7"/>
  <c r="D12" i="1"/>
  <c r="D8" i="1"/>
  <c r="B8" i="1"/>
  <c r="A7" i="1"/>
  <c r="A6" i="1"/>
  <c r="B5" i="1"/>
  <c r="I2" i="4"/>
  <c r="I2" i="8"/>
  <c r="I2" i="9"/>
  <c r="I2" i="7"/>
  <c r="I2" i="1"/>
  <c r="I2" i="5"/>
  <c r="D18" i="5" l="1"/>
  <c r="D18" i="9"/>
  <c r="D18" i="8"/>
  <c r="D18" i="4"/>
  <c r="D18" i="7"/>
  <c r="D19" i="7" s="1"/>
  <c r="D18" i="1"/>
  <c r="D19" i="1" s="1"/>
</calcChain>
</file>

<file path=xl/comments1.xml><?xml version="1.0" encoding="utf-8"?>
<comments xmlns="http://schemas.openxmlformats.org/spreadsheetml/2006/main">
  <authors>
    <author>Grace LEONG (MOE)</author>
  </authors>
  <commentList>
    <comment ref="H9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Example of additional information.</t>
        </r>
      </text>
    </comment>
  </commentList>
</comments>
</file>

<file path=xl/comments2.xml><?xml version="1.0" encoding="utf-8"?>
<comments xmlns="http://schemas.openxmlformats.org/spreadsheetml/2006/main">
  <authors>
    <author>Grace LEONG (MOE)</author>
  </authors>
  <commentList>
    <comment ref="B2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Concentrations should not exceed 2.00 mol dm-3 for safety reasons.</t>
        </r>
      </text>
    </comment>
    <comment ref="B3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Concentrations should not exceed 2.00 mol dm-3 for safety reasons.</t>
        </r>
      </text>
    </comment>
    <comment ref="D5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Standard volume of pipettes</t>
        </r>
      </text>
    </comment>
    <comment ref="D10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The maximum allowed volume is 2 x Veq.
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Any value between 0.05 cm</t>
        </r>
        <r>
          <rPr>
            <vertAlign val="superscript"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(1 drop from the burette) to 1 cm</t>
        </r>
        <r>
          <rPr>
            <vertAlign val="superscript"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(sufficient data points for a smooth titration curve)</t>
        </r>
      </text>
    </comment>
  </commentList>
</comments>
</file>

<file path=xl/comments3.xml><?xml version="1.0" encoding="utf-8"?>
<comments xmlns="http://schemas.openxmlformats.org/spreadsheetml/2006/main">
  <authors>
    <author>Grace LEONG (MOE)</author>
  </authors>
  <commentList>
    <comment ref="B2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Concentrations should not exceed 2.00 mol dm-3 for safety reasons.</t>
        </r>
      </text>
    </comment>
    <comment ref="B3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Concentrations should not exceed 2.00 mol dm-3 for safety reasons.</t>
        </r>
      </text>
    </comment>
    <comment ref="D5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Standard volume of pipettes</t>
        </r>
      </text>
    </comment>
    <comment ref="D10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The maximum allowed volume is 2 x Veq.
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Any value between 0.05 cm</t>
        </r>
        <r>
          <rPr>
            <vertAlign val="superscript"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(1 drop from the burette) to 1 cm</t>
        </r>
        <r>
          <rPr>
            <vertAlign val="superscript"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(sufficient data points for a smooth titration curve)</t>
        </r>
      </text>
    </comment>
  </commentList>
</comments>
</file>

<file path=xl/comments4.xml><?xml version="1.0" encoding="utf-8"?>
<comments xmlns="http://schemas.openxmlformats.org/spreadsheetml/2006/main">
  <authors>
    <author>Grace LEONG (MOE)</author>
  </authors>
  <commentList>
    <comment ref="B2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Concentrations should not exceed 2.00 mol dm-3 for safety reasons.</t>
        </r>
      </text>
    </comment>
    <comment ref="B3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Concentrations should not exceed 2.00 mol dm-3 for safety reasons.</t>
        </r>
      </text>
    </comment>
    <comment ref="B4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Type in scientific notation eg 1.30E-5 means 1.30 x 10^-5</t>
        </r>
      </text>
    </comment>
    <comment ref="D5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Standard volume of pipettes</t>
        </r>
      </text>
    </comment>
    <comment ref="D10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The maximum allowed volume is 2 x Veq.
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Any value between 0.05 cm</t>
        </r>
        <r>
          <rPr>
            <vertAlign val="superscript"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(1 drop from the burette) to 1 cm</t>
        </r>
        <r>
          <rPr>
            <vertAlign val="superscript"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(sufficient data points for a smooth titration curve)</t>
        </r>
      </text>
    </comment>
  </commentList>
</comments>
</file>

<file path=xl/comments5.xml><?xml version="1.0" encoding="utf-8"?>
<comments xmlns="http://schemas.openxmlformats.org/spreadsheetml/2006/main">
  <authors>
    <author>Grace LEONG (MOE)</author>
  </authors>
  <commentList>
    <comment ref="B2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Concentrations should not exceed 2.00 mol dm-3 for safety reasons.</t>
        </r>
      </text>
    </comment>
    <comment ref="B3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Concentrations should not exceed 2.00 mol dm-3 for safety reasons.</t>
        </r>
      </text>
    </comment>
    <comment ref="B4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Type in scientific notation eg 1.30E-5 means 1.30 x 10^-5</t>
        </r>
      </text>
    </comment>
    <comment ref="D5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Standard volume of pipettes</t>
        </r>
      </text>
    </comment>
    <comment ref="D10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The maximum allowed volume is 2 x Veq.
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Any value between 0.05 cm</t>
        </r>
        <r>
          <rPr>
            <vertAlign val="superscript"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(1 drop from the burette) to 1 cm</t>
        </r>
        <r>
          <rPr>
            <vertAlign val="superscript"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(sufficient data points for a smooth titration curve)</t>
        </r>
      </text>
    </comment>
  </commentList>
</comments>
</file>

<file path=xl/comments6.xml><?xml version="1.0" encoding="utf-8"?>
<comments xmlns="http://schemas.openxmlformats.org/spreadsheetml/2006/main">
  <authors>
    <author>Grace LEONG (MOE)</author>
  </authors>
  <commentList>
    <comment ref="B2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Concentrations should not exceed 2.00 mol dm-3 for safety reasons.</t>
        </r>
      </text>
    </comment>
    <comment ref="B3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Concentrations should not exceed 2.00 mol dm-3 for safety reasons.</t>
        </r>
      </text>
    </comment>
    <comment ref="B4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Type in scientific notation eg 1.30E-5 means 1.30 x 10^-5</t>
        </r>
      </text>
    </comment>
    <comment ref="D5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Standard volume of pipettes</t>
        </r>
      </text>
    </comment>
    <comment ref="D10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The maximum allowed volume is 2 x Veq.
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Any value between 0.05 cm</t>
        </r>
        <r>
          <rPr>
            <vertAlign val="superscript"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(1 drop from the burette) to 1 cm</t>
        </r>
        <r>
          <rPr>
            <vertAlign val="superscript"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(sufficient data points for a smooth titration curve)</t>
        </r>
      </text>
    </comment>
  </commentList>
</comments>
</file>

<file path=xl/comments7.xml><?xml version="1.0" encoding="utf-8"?>
<comments xmlns="http://schemas.openxmlformats.org/spreadsheetml/2006/main">
  <authors>
    <author>Grace LEONG (MOE)</author>
  </authors>
  <commentList>
    <comment ref="B2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Concentrations should not exceed 2.00 mol dm-3 for safety reasons.</t>
        </r>
      </text>
    </comment>
    <comment ref="B3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Concentrations should not exceed 2.00 mol dm-3 for safety reasons.</t>
        </r>
      </text>
    </comment>
    <comment ref="B4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Type in scientific notation eg 1.30E-5 means 1.30 x 10^-5</t>
        </r>
      </text>
    </comment>
    <comment ref="D5" authorId="0">
      <text>
        <r>
          <rPr>
            <b/>
            <sz val="9"/>
            <color indexed="81"/>
            <rFont val="Tahoma"/>
            <charset val="1"/>
          </rPr>
          <t>Grace LEONG (MOE):</t>
        </r>
        <r>
          <rPr>
            <sz val="9"/>
            <color indexed="81"/>
            <rFont val="Tahoma"/>
            <charset val="1"/>
          </rPr>
          <t xml:space="preserve">
Standard volume of pipettes</t>
        </r>
      </text>
    </comment>
    <comment ref="D10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The maximum allowed volume is 2 x Veq.
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Grace LEONG (MOE):</t>
        </r>
        <r>
          <rPr>
            <sz val="9"/>
            <color indexed="81"/>
            <rFont val="Tahoma"/>
            <family val="2"/>
          </rPr>
          <t xml:space="preserve">
Any value between 0.05 cm</t>
        </r>
        <r>
          <rPr>
            <vertAlign val="superscript"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(1 drop from the burette) to 1 cm</t>
        </r>
        <r>
          <rPr>
            <vertAlign val="superscript"/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Tahoma"/>
            <family val="2"/>
          </rPr>
          <t xml:space="preserve"> (sufficient data points for a smooth titration curve)</t>
        </r>
      </text>
    </comment>
  </commentList>
</comments>
</file>

<file path=xl/sharedStrings.xml><?xml version="1.0" encoding="utf-8"?>
<sst xmlns="http://schemas.openxmlformats.org/spreadsheetml/2006/main" count="352" uniqueCount="61">
  <si>
    <t>pH</t>
  </si>
  <si>
    <t>Titration of</t>
  </si>
  <si>
    <t>against</t>
  </si>
  <si>
    <t>[acid] =</t>
  </si>
  <si>
    <t>[base] =</t>
  </si>
  <si>
    <t>WA</t>
  </si>
  <si>
    <t>SB</t>
  </si>
  <si>
    <t>SA</t>
  </si>
  <si>
    <t>WB</t>
  </si>
  <si>
    <t>Volume of</t>
  </si>
  <si>
    <t>is</t>
  </si>
  <si>
    <t>monoprotic</t>
  </si>
  <si>
    <t>diprotic</t>
  </si>
  <si>
    <t>protic</t>
  </si>
  <si>
    <t>req for neutralisation =</t>
  </si>
  <si>
    <t>in conical flask =</t>
  </si>
  <si>
    <t>Data points in increment units of</t>
  </si>
  <si>
    <t>Burette Vol</t>
  </si>
  <si>
    <t>Ka of WA =</t>
  </si>
  <si>
    <t>Kb of WB =</t>
  </si>
  <si>
    <t>Stop titration at (auto titration only)</t>
  </si>
  <si>
    <t>Total data points (auto titration only)</t>
  </si>
  <si>
    <t>Welcome to the titration curve generator!</t>
  </si>
  <si>
    <t>The values of all cells highlighted in yellow can be changed.</t>
  </si>
  <si>
    <t>Please report bugs or send feedback to leong_jia_hui_grace@moe.edu.sg</t>
  </si>
  <si>
    <t>Thank you! :)</t>
  </si>
  <si>
    <t>Foreword</t>
  </si>
  <si>
    <t>Each worksheet contains a specific type of titration curve.</t>
  </si>
  <si>
    <t>You can generate and explore the shapes of various titration curves involving strong/weak acids/bases.</t>
  </si>
  <si>
    <t>Grace Leong, MOE, 2016</t>
  </si>
  <si>
    <t>Type of solution</t>
  </si>
  <si>
    <t xml:space="preserve">Type of Solution </t>
  </si>
  <si>
    <t>Place your mouse over cells with a small red arrow to view more information.</t>
  </si>
  <si>
    <r>
      <t>cm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</si>
  <si>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moldm</t>
    </r>
    <r>
      <rPr>
        <vertAlign val="superscript"/>
        <sz val="11"/>
        <color theme="1"/>
        <rFont val="Calibri"/>
        <family val="2"/>
        <scheme val="minor"/>
      </rPr>
      <t>-3</t>
    </r>
  </si>
  <si>
    <t>Legend</t>
  </si>
  <si>
    <t>strong acid</t>
  </si>
  <si>
    <t>strong base</t>
  </si>
  <si>
    <t>weak acid</t>
  </si>
  <si>
    <t>weak base</t>
  </si>
  <si>
    <t>Choice of indicator</t>
  </si>
  <si>
    <t>indicator</t>
  </si>
  <si>
    <t>screened methyl orange</t>
  </si>
  <si>
    <t>phenolphthalein</t>
  </si>
  <si>
    <t>none</t>
  </si>
  <si>
    <t>Current pH</t>
  </si>
  <si>
    <t>Current titre added</t>
  </si>
  <si>
    <t>Colour in flask</t>
  </si>
  <si>
    <t>Type of Solution</t>
  </si>
  <si>
    <t>The values of cells highlighted in orange will be automatically updated based on your input  in the yellow boxes.</t>
  </si>
  <si>
    <t>Version 1</t>
  </si>
  <si>
    <t xml:space="preserve">Last modified </t>
  </si>
  <si>
    <t>Things to note</t>
  </si>
  <si>
    <t>1. You need to click the graph after selecting the indicator for the graph to refresh.</t>
  </si>
  <si>
    <t>2. The maximum data points allowed for certain excel functions is 255.</t>
  </si>
  <si>
    <r>
      <rPr>
        <sz val="11"/>
        <color theme="0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If there are more than 255 data points the autoupdate features in cells D17-D20 will not work.</t>
    </r>
  </si>
  <si>
    <t>SA + Neutral Salt</t>
  </si>
  <si>
    <t>Neutral Salt</t>
  </si>
  <si>
    <t>xs SB + Neutral salt</t>
  </si>
  <si>
    <t>SB + Neutral Salt</t>
  </si>
  <si>
    <t>xs SA + Neutral salt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</si>
</sst>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vertAlign val="superscript"/>
      <sz val="11"/>
      <color theme="1"/>
      <name val="Calibri"/>
      <family val="2"/>
      <scheme val="minor"/>
    </font>
    <font>
      <vertAlign val="superscript"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2" fontId="0" fillId="2" borderId="0" xfId="0" applyNumberFormat="1" applyFill="1"/>
    <xf numFmtId="0" fontId="0" fillId="2" borderId="0" xfId="0" applyFill="1"/>
    <xf numFmtId="164" fontId="0" fillId="2" borderId="0" xfId="0" applyNumberFormat="1" applyFill="1"/>
    <xf numFmtId="0" fontId="0" fillId="0" borderId="0" xfId="0" applyFill="1"/>
    <xf numFmtId="0" fontId="2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11" fontId="0" fillId="2" borderId="0" xfId="0" applyNumberFormat="1" applyFill="1"/>
    <xf numFmtId="2" fontId="0" fillId="3" borderId="0" xfId="0" applyNumberFormat="1" applyFill="1"/>
    <xf numFmtId="0" fontId="0" fillId="3" borderId="0" xfId="0" applyFill="1"/>
    <xf numFmtId="0" fontId="3" fillId="0" borderId="0" xfId="0" applyFont="1"/>
    <xf numFmtId="2" fontId="1" fillId="0" borderId="0" xfId="0" applyNumberFormat="1" applyFont="1" applyAlignment="1">
      <alignment horizontal="left" wrapText="1"/>
    </xf>
    <xf numFmtId="0" fontId="0" fillId="0" borderId="0" xfId="0" applyFont="1"/>
    <xf numFmtId="2" fontId="0" fillId="0" borderId="0" xfId="0" applyNumberFormat="1" applyAlignment="1">
      <alignment horizontal="left"/>
    </xf>
    <xf numFmtId="2" fontId="0" fillId="3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10" fillId="0" borderId="1" xfId="0" applyFont="1" applyFill="1" applyBorder="1"/>
    <xf numFmtId="2" fontId="10" fillId="3" borderId="2" xfId="0" applyNumberFormat="1" applyFont="1" applyFill="1" applyBorder="1" applyAlignment="1">
      <alignment horizontal="left"/>
    </xf>
    <xf numFmtId="0" fontId="10" fillId="0" borderId="3" xfId="0" applyFont="1" applyFill="1" applyBorder="1"/>
    <xf numFmtId="2" fontId="10" fillId="3" borderId="4" xfId="0" applyNumberFormat="1" applyFont="1" applyFill="1" applyBorder="1" applyAlignment="1">
      <alignment horizontal="left"/>
    </xf>
    <xf numFmtId="0" fontId="10" fillId="0" borderId="3" xfId="0" applyFont="1" applyFill="1" applyBorder="1" applyAlignment="1">
      <alignment wrapText="1"/>
    </xf>
    <xf numFmtId="0" fontId="10" fillId="0" borderId="5" xfId="0" applyFont="1" applyFill="1" applyBorder="1" applyAlignment="1">
      <alignment wrapText="1"/>
    </xf>
    <xf numFmtId="0" fontId="10" fillId="3" borderId="6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left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5B9BD5"/>
                </a:solidFill>
              </a:defRPr>
            </a:pPr>
            <a:r>
              <a:rPr lang="en-US">
                <a:solidFill>
                  <a:sysClr val="windowText" lastClr="000000"/>
                </a:solidFill>
              </a:rPr>
              <a:t>SA/SB Titration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SASB!$I$1</c:f>
              <c:strCache>
                <c:ptCount val="1"/>
                <c:pt idx="0">
                  <c:v>pH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SASB!$H$2:$H$1100</c:f>
              <c:numCache>
                <c:formatCode>0.00</c:formatCode>
                <c:ptCount val="10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SASB!$I$2:$I$1100</c:f>
              <c:numCache>
                <c:formatCode>0.00</c:formatCode>
                <c:ptCount val="1099"/>
                <c:pt idx="0">
                  <c:v>0</c:v>
                </c:pt>
                <c:pt idx="1">
                  <c:v>3.4762106259211917E-2</c:v>
                </c:pt>
                <c:pt idx="2">
                  <c:v>6.9635928141394424E-2</c:v>
                </c:pt>
                <c:pt idx="3">
                  <c:v>0.104735350520013</c:v>
                </c:pt>
                <c:pt idx="4">
                  <c:v>0.14017870316503681</c:v>
                </c:pt>
                <c:pt idx="5">
                  <c:v>0.17609125905568127</c:v>
                </c:pt>
                <c:pt idx="6">
                  <c:v>0.21260809288144372</c:v>
                </c:pt>
                <c:pt idx="7">
                  <c:v>0.24987747321659989</c:v>
                </c:pt>
                <c:pt idx="8">
                  <c:v>0.28806501849961358</c:v>
                </c:pt>
                <c:pt idx="9">
                  <c:v>0.32735893438633035</c:v>
                </c:pt>
                <c:pt idx="10">
                  <c:v>0.36797678529459443</c:v>
                </c:pt>
                <c:pt idx="11">
                  <c:v>0.41017446508904926</c:v>
                </c:pt>
                <c:pt idx="12">
                  <c:v>0.45425837176015821</c:v>
                </c:pt>
                <c:pt idx="13">
                  <c:v>0.50060235056918534</c:v>
                </c:pt>
                <c:pt idx="14">
                  <c:v>0.54967192186827418</c:v>
                </c:pt>
                <c:pt idx="15">
                  <c:v>0.6020599913279624</c:v>
                </c:pt>
                <c:pt idx="16">
                  <c:v>0.65854134728041058</c:v>
                </c:pt>
                <c:pt idx="17">
                  <c:v>0.72015930340595691</c:v>
                </c:pt>
                <c:pt idx="18">
                  <c:v>0.78837041556532972</c:v>
                </c:pt>
                <c:pt idx="19">
                  <c:v>0.86530142610254379</c:v>
                </c:pt>
                <c:pt idx="20">
                  <c:v>0.95424250943932487</c:v>
                </c:pt>
                <c:pt idx="21">
                  <c:v>1.0606978403536116</c:v>
                </c:pt>
                <c:pt idx="22">
                  <c:v>1.1949766032160551</c:v>
                </c:pt>
                <c:pt idx="23">
                  <c:v>1.3802112417116061</c:v>
                </c:pt>
                <c:pt idx="24">
                  <c:v>1.6901960800285136</c:v>
                </c:pt>
                <c:pt idx="25">
                  <c:v>7</c:v>
                </c:pt>
                <c:pt idx="26">
                  <c:v>12.292429823902063</c:v>
                </c:pt>
                <c:pt idx="27">
                  <c:v>12.585026652029182</c:v>
                </c:pt>
                <c:pt idx="28">
                  <c:v>12.752845385118874</c:v>
                </c:pt>
                <c:pt idx="29">
                  <c:v>12.869666231504993</c:v>
                </c:pt>
                <c:pt idx="30">
                  <c:v>12.958607314841775</c:v>
                </c:pt>
                <c:pt idx="31">
                  <c:v>13.029963223377443</c:v>
                </c:pt>
                <c:pt idx="32">
                  <c:v>13.089223184341765</c:v>
                </c:pt>
                <c:pt idx="33">
                  <c:v>13.139661993429007</c:v>
                </c:pt>
                <c:pt idx="34">
                  <c:v>13.183390497797181</c:v>
                </c:pt>
                <c:pt idx="35">
                  <c:v>13.221848749616356</c:v>
                </c:pt>
                <c:pt idx="36">
                  <c:v>13.256062850147458</c:v>
                </c:pt>
                <c:pt idx="37">
                  <c:v>13.286789556549371</c:v>
                </c:pt>
                <c:pt idx="38">
                  <c:v>13.314602802853255</c:v>
                </c:pt>
                <c:pt idx="39">
                  <c:v>13.339948061694351</c:v>
                </c:pt>
                <c:pt idx="40">
                  <c:v>13.363177902412826</c:v>
                </c:pt>
                <c:pt idx="41">
                  <c:v>13.384576047114056</c:v>
                </c:pt>
                <c:pt idx="42">
                  <c:v>13.404374118677447</c:v>
                </c:pt>
                <c:pt idx="43">
                  <c:v>13.42276359239707</c:v>
                </c:pt>
                <c:pt idx="44">
                  <c:v>13.439904510215573</c:v>
                </c:pt>
                <c:pt idx="45">
                  <c:v>13.455931955649724</c:v>
                </c:pt>
                <c:pt idx="46">
                  <c:v>13.470960946014843</c:v>
                </c:pt>
                <c:pt idx="47">
                  <c:v>13.485090184390938</c:v>
                </c:pt>
                <c:pt idx="48">
                  <c:v>13.498404975897136</c:v>
                </c:pt>
                <c:pt idx="49">
                  <c:v>13.51097952198063</c:v>
                </c:pt>
                <c:pt idx="50">
                  <c:v>13.522878745280337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18240"/>
        <c:axId val="117498240"/>
      </c:scatterChart>
      <c:valAx>
        <c:axId val="11741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Volume of SB added / cm</a:t>
                </a:r>
                <a:r>
                  <a:rPr lang="en-SG" baseline="30000"/>
                  <a:t>3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en-US"/>
          </a:p>
        </c:txPr>
        <c:crossAx val="117498240"/>
        <c:crosses val="autoZero"/>
        <c:crossBetween val="midCat"/>
      </c:valAx>
      <c:valAx>
        <c:axId val="117498240"/>
        <c:scaling>
          <c:orientation val="minMax"/>
          <c:max val="1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pH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en-US"/>
          </a:p>
        </c:txPr>
        <c:crossAx val="117418240"/>
        <c:crosses val="autoZero"/>
        <c:crossBetween val="midCat"/>
      </c:valAx>
      <c:spPr>
        <a:gradFill flip="none" rotWithShape="1">
          <a:gsLst>
            <a:gs pos="0">
              <a:srgbClr val="00B050"/>
            </a:gs>
            <a:gs pos="100000">
              <a:srgbClr val="7030A0"/>
            </a:gs>
            <a:gs pos="75000">
              <a:srgbClr val="BFBFBF">
                <a:alpha val="80000"/>
              </a:srgbClr>
            </a:gs>
          </a:gsLst>
          <a:lin ang="5400000" scaled="1"/>
          <a:tileRect/>
        </a:gradFill>
        <a:ln>
          <a:noFill/>
        </a:ln>
        <a:extLst/>
      </c:spPr>
    </c:plotArea>
    <c:plotVisOnly val="1"/>
    <c:dispBlanksAs val="gap"/>
    <c:showDLblsOverMax val="0"/>
  </c:chart>
  <c:spPr>
    <a:solidFill>
      <a:schemeClr val="bg1"/>
    </a:solidFill>
    <a:extLst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SB/SA Titration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SBSA!$I$1</c:f>
              <c:strCache>
                <c:ptCount val="1"/>
                <c:pt idx="0">
                  <c:v>pH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SBSA!$H$2:$H$1102</c:f>
              <c:numCache>
                <c:formatCode>0.00</c:formatCode>
                <c:ptCount val="1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24.05</c:v>
                </c:pt>
                <c:pt idx="26">
                  <c:v>24.1</c:v>
                </c:pt>
                <c:pt idx="27">
                  <c:v>24.15</c:v>
                </c:pt>
                <c:pt idx="28">
                  <c:v>24.2</c:v>
                </c:pt>
                <c:pt idx="29">
                  <c:v>24.25</c:v>
                </c:pt>
                <c:pt idx="30">
                  <c:v>24.3</c:v>
                </c:pt>
                <c:pt idx="31">
                  <c:v>24.35</c:v>
                </c:pt>
                <c:pt idx="32">
                  <c:v>24.4</c:v>
                </c:pt>
                <c:pt idx="33">
                  <c:v>24.45</c:v>
                </c:pt>
                <c:pt idx="34">
                  <c:v>24.5</c:v>
                </c:pt>
                <c:pt idx="35">
                  <c:v>24.55</c:v>
                </c:pt>
                <c:pt idx="36">
                  <c:v>24.6</c:v>
                </c:pt>
                <c:pt idx="37">
                  <c:v>24.65</c:v>
                </c:pt>
                <c:pt idx="38">
                  <c:v>24.7</c:v>
                </c:pt>
                <c:pt idx="39">
                  <c:v>24.75</c:v>
                </c:pt>
                <c:pt idx="40">
                  <c:v>24.8</c:v>
                </c:pt>
                <c:pt idx="41">
                  <c:v>24.85</c:v>
                </c:pt>
                <c:pt idx="42">
                  <c:v>24.9</c:v>
                </c:pt>
                <c:pt idx="43">
                  <c:v>24.95</c:v>
                </c:pt>
                <c:pt idx="44">
                  <c:v>25</c:v>
                </c:pt>
                <c:pt idx="45">
                  <c:v>25.05</c:v>
                </c:pt>
                <c:pt idx="46">
                  <c:v>25.1</c:v>
                </c:pt>
                <c:pt idx="47">
                  <c:v>25.15</c:v>
                </c:pt>
                <c:pt idx="48">
                  <c:v>25.2</c:v>
                </c:pt>
                <c:pt idx="49">
                  <c:v>25.25</c:v>
                </c:pt>
                <c:pt idx="50">
                  <c:v>25.3</c:v>
                </c:pt>
                <c:pt idx="51">
                  <c:v>25.35</c:v>
                </c:pt>
                <c:pt idx="52">
                  <c:v>25.4</c:v>
                </c:pt>
                <c:pt idx="53">
                  <c:v>25.45</c:v>
                </c:pt>
                <c:pt idx="54">
                  <c:v>25.5</c:v>
                </c:pt>
                <c:pt idx="55">
                  <c:v>25.55</c:v>
                </c:pt>
                <c:pt idx="56">
                  <c:v>25.6</c:v>
                </c:pt>
                <c:pt idx="57">
                  <c:v>25.65</c:v>
                </c:pt>
                <c:pt idx="58">
                  <c:v>25.7</c:v>
                </c:pt>
                <c:pt idx="59">
                  <c:v>25.75</c:v>
                </c:pt>
                <c:pt idx="60">
                  <c:v>25.8</c:v>
                </c:pt>
                <c:pt idx="61">
                  <c:v>25.85</c:v>
                </c:pt>
                <c:pt idx="62">
                  <c:v>25.9</c:v>
                </c:pt>
                <c:pt idx="63">
                  <c:v>25.95</c:v>
                </c:pt>
                <c:pt idx="64">
                  <c:v>26</c:v>
                </c:pt>
              </c:numCache>
            </c:numRef>
          </c:xVal>
          <c:yVal>
            <c:numRef>
              <c:f>SBSA!$I$2:$I$1102</c:f>
              <c:numCache>
                <c:formatCode>0.00</c:formatCode>
                <c:ptCount val="1101"/>
                <c:pt idx="0">
                  <c:v>14</c:v>
                </c:pt>
                <c:pt idx="1">
                  <c:v>13.965237893740788</c:v>
                </c:pt>
                <c:pt idx="2">
                  <c:v>13.930364071858605</c:v>
                </c:pt>
                <c:pt idx="3">
                  <c:v>13.895264649479987</c:v>
                </c:pt>
                <c:pt idx="4">
                  <c:v>13.859821296834964</c:v>
                </c:pt>
                <c:pt idx="5">
                  <c:v>13.823908740944319</c:v>
                </c:pt>
                <c:pt idx="6">
                  <c:v>13.787391907118556</c:v>
                </c:pt>
                <c:pt idx="7">
                  <c:v>13.7501225267834</c:v>
                </c:pt>
                <c:pt idx="8">
                  <c:v>13.711934981500386</c:v>
                </c:pt>
                <c:pt idx="9">
                  <c:v>13.67264106561367</c:v>
                </c:pt>
                <c:pt idx="10">
                  <c:v>13.632023214705406</c:v>
                </c:pt>
                <c:pt idx="11">
                  <c:v>13.58982553491095</c:v>
                </c:pt>
                <c:pt idx="12">
                  <c:v>13.545741628239842</c:v>
                </c:pt>
                <c:pt idx="13">
                  <c:v>13.499397649430815</c:v>
                </c:pt>
                <c:pt idx="14">
                  <c:v>13.450328078131726</c:v>
                </c:pt>
                <c:pt idx="15">
                  <c:v>13.397940008672037</c:v>
                </c:pt>
                <c:pt idx="16">
                  <c:v>13.34145865271959</c:v>
                </c:pt>
                <c:pt idx="17">
                  <c:v>13.279840696594043</c:v>
                </c:pt>
                <c:pt idx="18">
                  <c:v>13.21162958443467</c:v>
                </c:pt>
                <c:pt idx="19">
                  <c:v>13.134698573897456</c:v>
                </c:pt>
                <c:pt idx="20">
                  <c:v>13.045757490560675</c:v>
                </c:pt>
                <c:pt idx="21">
                  <c:v>12.939302159646388</c:v>
                </c:pt>
                <c:pt idx="22">
                  <c:v>12.805023396783945</c:v>
                </c:pt>
                <c:pt idx="23">
                  <c:v>12.619788758288394</c:v>
                </c:pt>
                <c:pt idx="24">
                  <c:v>12.309803919971486</c:v>
                </c:pt>
                <c:pt idx="25">
                  <c:v>12.287084600328036</c:v>
                </c:pt>
                <c:pt idx="26">
                  <c:v>12.26316103081291</c:v>
                </c:pt>
                <c:pt idx="27">
                  <c:v>12.237895390063315</c:v>
                </c:pt>
                <c:pt idx="28">
                  <c:v>12.211124877490022</c:v>
                </c:pt>
                <c:pt idx="29">
                  <c:v>12.18265502855807</c:v>
                </c:pt>
                <c:pt idx="30">
                  <c:v>12.152251127457927</c:v>
                </c:pt>
                <c:pt idx="31">
                  <c:v>12.119626213065381</c:v>
                </c:pt>
                <c:pt idx="32">
                  <c:v>12.084424288045406</c:v>
                </c:pt>
                <c:pt idx="33">
                  <c:v>12.046196386860533</c:v>
                </c:pt>
                <c:pt idx="34">
                  <c:v>12.004364805402449</c:v>
                </c:pt>
                <c:pt idx="35">
                  <c:v>11.95816886164104</c:v>
                </c:pt>
                <c:pt idx="36">
                  <c:v>11.906578328198263</c:v>
                </c:pt>
                <c:pt idx="37">
                  <c:v>11.848148778171833</c:v>
                </c:pt>
                <c:pt idx="38">
                  <c:v>11.780764859319522</c:v>
                </c:pt>
                <c:pt idx="39">
                  <c:v>11.701146923590294</c:v>
                </c:pt>
                <c:pt idx="40">
                  <c:v>11.603800659557685</c:v>
                </c:pt>
                <c:pt idx="41">
                  <c:v>11.478426109701498</c:v>
                </c:pt>
                <c:pt idx="42">
                  <c:v>11.30189944109644</c:v>
                </c:pt>
                <c:pt idx="43">
                  <c:v>11.000434505140582</c:v>
                </c:pt>
                <c:pt idx="44">
                  <c:v>7</c:v>
                </c:pt>
                <c:pt idx="45">
                  <c:v>3.0004340708591246</c:v>
                </c:pt>
                <c:pt idx="46">
                  <c:v>2.6998377126400777</c:v>
                </c:pt>
                <c:pt idx="47">
                  <c:v>2.5241796915147336</c:v>
                </c:pt>
                <c:pt idx="48">
                  <c:v>2.3996737280814457</c:v>
                </c:pt>
                <c:pt idx="49">
                  <c:v>2.3031960574204891</c:v>
                </c:pt>
                <c:pt idx="50">
                  <c:v>2.2244467237489798</c:v>
                </c:pt>
                <c:pt idx="51">
                  <c:v>2.1579314173778736</c:v>
                </c:pt>
                <c:pt idx="52">
                  <c:v>2.1003705582659928</c:v>
                </c:pt>
                <c:pt idx="53">
                  <c:v>2.0496486633652848</c:v>
                </c:pt>
                <c:pt idx="54">
                  <c:v>2.0043213737826426</c:v>
                </c:pt>
                <c:pt idx="55">
                  <c:v>1.9633584638780692</c:v>
                </c:pt>
                <c:pt idx="56">
                  <c:v>1.9259992533596959</c:v>
                </c:pt>
                <c:pt idx="57">
                  <c:v>1.8916661061369744</c:v>
                </c:pt>
                <c:pt idx="58">
                  <c:v>1.859909925854393</c:v>
                </c:pt>
                <c:pt idx="59">
                  <c:v>1.8303747831935504</c:v>
                </c:pt>
                <c:pt idx="60">
                  <c:v>1.8027737187695265</c:v>
                </c:pt>
                <c:pt idx="61">
                  <c:v>1.7768720185123992</c:v>
                </c:pt>
                <c:pt idx="62">
                  <c:v>1.7524752859167034</c:v>
                </c:pt>
                <c:pt idx="63">
                  <c:v>1.729420589556844</c:v>
                </c:pt>
                <c:pt idx="64">
                  <c:v>1.7075701760979363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8160"/>
        <c:axId val="119070080"/>
      </c:scatterChart>
      <c:valAx>
        <c:axId val="119068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Volume of SB added / cm</a:t>
                </a:r>
                <a:r>
                  <a:rPr lang="en-SG" baseline="30000"/>
                  <a:t>3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19070080"/>
        <c:crosses val="autoZero"/>
        <c:crossBetween val="midCat"/>
      </c:valAx>
      <c:valAx>
        <c:axId val="119070080"/>
        <c:scaling>
          <c:orientation val="minMax"/>
          <c:max val="1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pH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19068160"/>
        <c:crosses val="autoZero"/>
        <c:crossBetween val="midCat"/>
      </c:valAx>
      <c:spPr>
        <a:gradFill flip="none" rotWithShape="1">
          <a:gsLst>
            <a:gs pos="0">
              <a:srgbClr val="FFFFFF"/>
            </a:gs>
            <a:gs pos="100000">
              <a:srgbClr val="FFFFFF"/>
            </a:gs>
            <a:gs pos="20000">
              <a:srgbClr val="FFFFFF"/>
            </a:gs>
          </a:gsLst>
          <a:lin ang="5400000" scaled="1"/>
          <a:tileRect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WA/SB Titration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WASB!$I$1</c:f>
              <c:strCache>
                <c:ptCount val="1"/>
                <c:pt idx="0">
                  <c:v>pH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WASB!$H$2:$H$1100</c:f>
              <c:numCache>
                <c:formatCode>0.00</c:formatCode>
                <c:ptCount val="1099"/>
                <c:pt idx="0">
                  <c:v>0</c:v>
                </c:pt>
              </c:numCache>
            </c:numRef>
          </c:xVal>
          <c:yVal>
            <c:numRef>
              <c:f>WASB!$I$2:$I$1100</c:f>
              <c:numCache>
                <c:formatCode>0.00</c:formatCode>
                <c:ptCount val="1099"/>
                <c:pt idx="0">
                  <c:v>2.4430283238465815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49952"/>
        <c:axId val="125151872"/>
      </c:scatterChart>
      <c:valAx>
        <c:axId val="125149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Volume of SB added / cm</a:t>
                </a:r>
                <a:r>
                  <a:rPr lang="en-SG" baseline="30000"/>
                  <a:t>3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5151872"/>
        <c:crosses val="autoZero"/>
        <c:crossBetween val="midCat"/>
      </c:valAx>
      <c:valAx>
        <c:axId val="125151872"/>
        <c:scaling>
          <c:orientation val="minMax"/>
          <c:max val="1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pH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5149952"/>
        <c:crosses val="autoZero"/>
        <c:crossBetween val="midCat"/>
      </c:valAx>
      <c:spPr>
        <a:gradFill flip="none" rotWithShape="1">
          <a:gsLst>
            <a:gs pos="0">
              <a:srgbClr val="FFFFFF"/>
            </a:gs>
            <a:gs pos="100000">
              <a:srgbClr val="FFFFFF"/>
            </a:gs>
          </a:gsLst>
          <a:lin ang="5400000" scaled="1"/>
          <a:tileRect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WB/SA</a:t>
            </a:r>
            <a:r>
              <a:rPr lang="en-US" baseline="0"/>
              <a:t> </a:t>
            </a:r>
            <a:r>
              <a:rPr lang="en-US"/>
              <a:t>Titration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WBSA!$I$1</c:f>
              <c:strCache>
                <c:ptCount val="1"/>
                <c:pt idx="0">
                  <c:v>pH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WBSA!$H$2:$H$1100</c:f>
              <c:numCache>
                <c:formatCode>0.00</c:formatCode>
                <c:ptCount val="1099"/>
                <c:pt idx="0">
                  <c:v>0</c:v>
                </c:pt>
              </c:numCache>
            </c:numRef>
          </c:xVal>
          <c:yVal>
            <c:numRef>
              <c:f>WBSA!$I$2:$I$1100</c:f>
              <c:numCache>
                <c:formatCode>0.00</c:formatCode>
                <c:ptCount val="1099"/>
                <c:pt idx="0">
                  <c:v>11.627636252551653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542784"/>
        <c:axId val="127544704"/>
      </c:scatterChart>
      <c:valAx>
        <c:axId val="12754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Volume of SA added / cm</a:t>
                </a:r>
                <a:r>
                  <a:rPr lang="en-SG" baseline="30000"/>
                  <a:t>3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7544704"/>
        <c:crosses val="autoZero"/>
        <c:crossBetween val="midCat"/>
      </c:valAx>
      <c:valAx>
        <c:axId val="127544704"/>
        <c:scaling>
          <c:orientation val="minMax"/>
          <c:max val="1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pH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7542784"/>
        <c:crosses val="autoZero"/>
        <c:crossBetween val="midCat"/>
      </c:valAx>
      <c:spPr>
        <a:gradFill flip="none" rotWithShape="1">
          <a:gsLst>
            <a:gs pos="0">
              <a:srgbClr val="FFFFFF"/>
            </a:gs>
            <a:gs pos="100000">
              <a:srgbClr val="FFFFFF"/>
            </a:gs>
          </a:gsLst>
          <a:lin ang="5400000" scaled="1"/>
          <a:tileRect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SB/WA Titration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SBWA!$I$1</c:f>
              <c:strCache>
                <c:ptCount val="1"/>
                <c:pt idx="0">
                  <c:v>pH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SBWA!$H$2:$H$1100</c:f>
              <c:numCache>
                <c:formatCode>0.00</c:formatCode>
                <c:ptCount val="1099"/>
                <c:pt idx="0">
                  <c:v>0</c:v>
                </c:pt>
              </c:numCache>
            </c:numRef>
          </c:xVal>
          <c:yVal>
            <c:numRef>
              <c:f>SBWA!$I$2:$I$1100</c:f>
              <c:numCache>
                <c:formatCode>0.00</c:formatCode>
                <c:ptCount val="1099"/>
                <c:pt idx="0">
                  <c:v>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82688"/>
        <c:axId val="128084608"/>
      </c:scatterChart>
      <c:valAx>
        <c:axId val="128082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Volume of WA added / cm</a:t>
                </a:r>
                <a:r>
                  <a:rPr lang="en-SG" baseline="30000"/>
                  <a:t>3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8084608"/>
        <c:crosses val="autoZero"/>
        <c:crossBetween val="midCat"/>
      </c:valAx>
      <c:valAx>
        <c:axId val="128084608"/>
        <c:scaling>
          <c:orientation val="minMax"/>
          <c:max val="1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pH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8082688"/>
        <c:crosses val="autoZero"/>
        <c:crossBetween val="midCat"/>
      </c:valAx>
      <c:spPr>
        <a:gradFill flip="none" rotWithShape="1">
          <a:gsLst>
            <a:gs pos="0">
              <a:srgbClr val="FFFFFF"/>
            </a:gs>
            <a:gs pos="100000">
              <a:srgbClr val="FFFFFF"/>
            </a:gs>
          </a:gsLst>
          <a:lin ang="5400000" scaled="1"/>
          <a:tileRect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SA/WB Titration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SAWB!$I$1</c:f>
              <c:strCache>
                <c:ptCount val="1"/>
                <c:pt idx="0">
                  <c:v>pH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SAWB!$H$2:$H$1100</c:f>
              <c:numCache>
                <c:formatCode>0.00</c:formatCode>
                <c:ptCount val="1099"/>
                <c:pt idx="0">
                  <c:v>0</c:v>
                </c:pt>
              </c:numCache>
            </c:numRef>
          </c:xVal>
          <c:yVal>
            <c:numRef>
              <c:f>SAWB!$I$2:$I$1100</c:f>
              <c:numCache>
                <c:formatCode>0.00</c:formatCode>
                <c:ptCount val="1099"/>
                <c:pt idx="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58368"/>
        <c:axId val="124860288"/>
      </c:scatterChart>
      <c:valAx>
        <c:axId val="12485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Volume of WB added / cm</a:t>
                </a:r>
                <a:r>
                  <a:rPr lang="en-SG" baseline="30000"/>
                  <a:t>3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4860288"/>
        <c:crosses val="autoZero"/>
        <c:crossBetween val="midCat"/>
      </c:valAx>
      <c:valAx>
        <c:axId val="124860288"/>
        <c:scaling>
          <c:orientation val="minMax"/>
          <c:max val="1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pH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4858368"/>
        <c:crosses val="autoZero"/>
        <c:crossBetween val="midCat"/>
      </c:valAx>
      <c:spPr>
        <a:gradFill flip="none" rotWithShape="1">
          <a:gsLst>
            <a:gs pos="0">
              <a:srgbClr val="FFFFFF"/>
            </a:gs>
            <a:gs pos="100000">
              <a:srgbClr val="FFFFFF"/>
            </a:gs>
          </a:gsLst>
          <a:lin ang="5400000" scaled="1"/>
          <a:tileRect/>
        </a:grad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18</xdr:row>
          <xdr:rowOff>19050</xdr:rowOff>
        </xdr:from>
        <xdr:to>
          <xdr:col>1</xdr:col>
          <xdr:colOff>0</xdr:colOff>
          <xdr:row>19</xdr:row>
          <xdr:rowOff>190500</xdr:rowOff>
        </xdr:to>
        <xdr:sp macro="" textlink="">
          <xdr:nvSpPr>
            <xdr:cNvPr id="1039" name="CommandButto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16</xdr:row>
          <xdr:rowOff>0</xdr:rowOff>
        </xdr:from>
        <xdr:to>
          <xdr:col>1</xdr:col>
          <xdr:colOff>0</xdr:colOff>
          <xdr:row>17</xdr:row>
          <xdr:rowOff>161925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0</xdr:colOff>
      <xdr:row>1</xdr:row>
      <xdr:rowOff>0</xdr:rowOff>
    </xdr:from>
    <xdr:to>
      <xdr:col>17</xdr:col>
      <xdr:colOff>0</xdr:colOff>
      <xdr:row>16</xdr:row>
      <xdr:rowOff>0</xdr:rowOff>
    </xdr:to>
    <xdr:graphicFrame macro="[0]!Sheet1.ChangeChartColors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13</xdr:row>
          <xdr:rowOff>0</xdr:rowOff>
        </xdr:from>
        <xdr:to>
          <xdr:col>1</xdr:col>
          <xdr:colOff>0</xdr:colOff>
          <xdr:row>15</xdr:row>
          <xdr:rowOff>161925</xdr:rowOff>
        </xdr:to>
        <xdr:sp macro="" textlink="">
          <xdr:nvSpPr>
            <xdr:cNvPr id="1048" name="CommandButton3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17</xdr:col>
      <xdr:colOff>0</xdr:colOff>
      <xdr:row>16</xdr:row>
      <xdr:rowOff>0</xdr:rowOff>
    </xdr:to>
    <xdr:graphicFrame macro="[0]!Sheet3.ChangeChartColors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18</xdr:row>
          <xdr:rowOff>19050</xdr:rowOff>
        </xdr:from>
        <xdr:to>
          <xdr:col>1</xdr:col>
          <xdr:colOff>0</xdr:colOff>
          <xdr:row>19</xdr:row>
          <xdr:rowOff>190500</xdr:rowOff>
        </xdr:to>
        <xdr:sp macro="" textlink="">
          <xdr:nvSpPr>
            <xdr:cNvPr id="7178" name="CommandButton1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16</xdr:row>
          <xdr:rowOff>0</xdr:rowOff>
        </xdr:from>
        <xdr:to>
          <xdr:col>1</xdr:col>
          <xdr:colOff>0</xdr:colOff>
          <xdr:row>17</xdr:row>
          <xdr:rowOff>161925</xdr:rowOff>
        </xdr:to>
        <xdr:sp macro="" textlink="">
          <xdr:nvSpPr>
            <xdr:cNvPr id="7179" name="CommandButton3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13</xdr:row>
          <xdr:rowOff>0</xdr:rowOff>
        </xdr:from>
        <xdr:to>
          <xdr:col>1</xdr:col>
          <xdr:colOff>0</xdr:colOff>
          <xdr:row>15</xdr:row>
          <xdr:rowOff>161925</xdr:rowOff>
        </xdr:to>
        <xdr:sp macro="" textlink="">
          <xdr:nvSpPr>
            <xdr:cNvPr id="7180" name="CommandButton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17</xdr:col>
      <xdr:colOff>0</xdr:colOff>
      <xdr:row>16</xdr:row>
      <xdr:rowOff>0</xdr:rowOff>
    </xdr:to>
    <xdr:graphicFrame macro="[0]!Sheet4.ChangeChartColors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18</xdr:row>
          <xdr:rowOff>0</xdr:rowOff>
        </xdr:from>
        <xdr:to>
          <xdr:col>1</xdr:col>
          <xdr:colOff>0</xdr:colOff>
          <xdr:row>19</xdr:row>
          <xdr:rowOff>171450</xdr:rowOff>
        </xdr:to>
        <xdr:sp macro="" textlink="">
          <xdr:nvSpPr>
            <xdr:cNvPr id="2061" name="CommandButton1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16</xdr:row>
          <xdr:rowOff>0</xdr:rowOff>
        </xdr:from>
        <xdr:to>
          <xdr:col>1</xdr:col>
          <xdr:colOff>0</xdr:colOff>
          <xdr:row>17</xdr:row>
          <xdr:rowOff>161925</xdr:rowOff>
        </xdr:to>
        <xdr:sp macro="" textlink="">
          <xdr:nvSpPr>
            <xdr:cNvPr id="2062" name="CommandButton2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13</xdr:row>
          <xdr:rowOff>0</xdr:rowOff>
        </xdr:from>
        <xdr:to>
          <xdr:col>1</xdr:col>
          <xdr:colOff>0</xdr:colOff>
          <xdr:row>15</xdr:row>
          <xdr:rowOff>161925</xdr:rowOff>
        </xdr:to>
        <xdr:sp macro="" textlink="">
          <xdr:nvSpPr>
            <xdr:cNvPr id="2063" name="CommandButton3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17</xdr:col>
      <xdr:colOff>0</xdr:colOff>
      <xdr:row>16</xdr:row>
      <xdr:rowOff>0</xdr:rowOff>
    </xdr:to>
    <xdr:graphicFrame macro="[0]!Sheet5.ChangeChartColors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18</xdr:row>
          <xdr:rowOff>0</xdr:rowOff>
        </xdr:from>
        <xdr:to>
          <xdr:col>1</xdr:col>
          <xdr:colOff>0</xdr:colOff>
          <xdr:row>19</xdr:row>
          <xdr:rowOff>171450</xdr:rowOff>
        </xdr:to>
        <xdr:sp macro="" textlink="">
          <xdr:nvSpPr>
            <xdr:cNvPr id="5133" name="CommandButton1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16</xdr:row>
          <xdr:rowOff>0</xdr:rowOff>
        </xdr:from>
        <xdr:to>
          <xdr:col>1</xdr:col>
          <xdr:colOff>0</xdr:colOff>
          <xdr:row>17</xdr:row>
          <xdr:rowOff>161925</xdr:rowOff>
        </xdr:to>
        <xdr:sp macro="" textlink="">
          <xdr:nvSpPr>
            <xdr:cNvPr id="5134" name="CommandButton2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13</xdr:row>
          <xdr:rowOff>0</xdr:rowOff>
        </xdr:from>
        <xdr:to>
          <xdr:col>1</xdr:col>
          <xdr:colOff>0</xdr:colOff>
          <xdr:row>15</xdr:row>
          <xdr:rowOff>161925</xdr:rowOff>
        </xdr:to>
        <xdr:sp macro="" textlink="">
          <xdr:nvSpPr>
            <xdr:cNvPr id="5135" name="CommandButton3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17</xdr:col>
      <xdr:colOff>0</xdr:colOff>
      <xdr:row>16</xdr:row>
      <xdr:rowOff>0</xdr:rowOff>
    </xdr:to>
    <xdr:graphicFrame macro="[0]!Sheet7.ChangeChartColors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18</xdr:row>
          <xdr:rowOff>0</xdr:rowOff>
        </xdr:from>
        <xdr:to>
          <xdr:col>1</xdr:col>
          <xdr:colOff>0</xdr:colOff>
          <xdr:row>19</xdr:row>
          <xdr:rowOff>171450</xdr:rowOff>
        </xdr:to>
        <xdr:sp macro="" textlink="">
          <xdr:nvSpPr>
            <xdr:cNvPr id="9224" name="CommandButton1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16</xdr:row>
          <xdr:rowOff>0</xdr:rowOff>
        </xdr:from>
        <xdr:to>
          <xdr:col>1</xdr:col>
          <xdr:colOff>0</xdr:colOff>
          <xdr:row>17</xdr:row>
          <xdr:rowOff>161925</xdr:rowOff>
        </xdr:to>
        <xdr:sp macro="" textlink="">
          <xdr:nvSpPr>
            <xdr:cNvPr id="9225" name="CommandButton3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13</xdr:row>
          <xdr:rowOff>0</xdr:rowOff>
        </xdr:from>
        <xdr:to>
          <xdr:col>1</xdr:col>
          <xdr:colOff>0</xdr:colOff>
          <xdr:row>15</xdr:row>
          <xdr:rowOff>161925</xdr:rowOff>
        </xdr:to>
        <xdr:sp macro="" textlink="">
          <xdr:nvSpPr>
            <xdr:cNvPr id="9226" name="CommandButton2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17</xdr:col>
      <xdr:colOff>0</xdr:colOff>
      <xdr:row>16</xdr:row>
      <xdr:rowOff>0</xdr:rowOff>
    </xdr:to>
    <xdr:graphicFrame macro="[0]!Sheet6.ChangeChartColors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18</xdr:row>
          <xdr:rowOff>0</xdr:rowOff>
        </xdr:from>
        <xdr:to>
          <xdr:col>1</xdr:col>
          <xdr:colOff>0</xdr:colOff>
          <xdr:row>19</xdr:row>
          <xdr:rowOff>171450</xdr:rowOff>
        </xdr:to>
        <xdr:sp macro="" textlink="">
          <xdr:nvSpPr>
            <xdr:cNvPr id="8201" name="CommandButton1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16</xdr:row>
          <xdr:rowOff>0</xdr:rowOff>
        </xdr:from>
        <xdr:to>
          <xdr:col>1</xdr:col>
          <xdr:colOff>0</xdr:colOff>
          <xdr:row>17</xdr:row>
          <xdr:rowOff>161925</xdr:rowOff>
        </xdr:to>
        <xdr:sp macro="" textlink="">
          <xdr:nvSpPr>
            <xdr:cNvPr id="8202" name="CommandButton2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13</xdr:row>
          <xdr:rowOff>0</xdr:rowOff>
        </xdr:from>
        <xdr:to>
          <xdr:col>1</xdr:col>
          <xdr:colOff>0</xdr:colOff>
          <xdr:row>15</xdr:row>
          <xdr:rowOff>161925</xdr:rowOff>
        </xdr:to>
        <xdr:sp macro="" textlink="">
          <xdr:nvSpPr>
            <xdr:cNvPr id="8203" name="CommandButton3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10" Type="http://schemas.openxmlformats.org/officeDocument/2006/relationships/comments" Target="../comments3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comments" Target="../comments4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10" Type="http://schemas.openxmlformats.org/officeDocument/2006/relationships/comments" Target="../comments5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10" Type="http://schemas.openxmlformats.org/officeDocument/2006/relationships/comments" Target="../comments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10" Type="http://schemas.openxmlformats.org/officeDocument/2006/relationships/comments" Target="../comments7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25"/>
  <sheetViews>
    <sheetView workbookViewId="0">
      <selection activeCell="F20" sqref="F20"/>
    </sheetView>
  </sheetViews>
  <sheetFormatPr defaultRowHeight="15" x14ac:dyDescent="0.25"/>
  <cols>
    <col min="1" max="1" width="9.7109375" bestFit="1" customWidth="1"/>
    <col min="4" max="4" width="9.7109375" bestFit="1" customWidth="1"/>
  </cols>
  <sheetData>
    <row r="1" spans="1:11" ht="21" x14ac:dyDescent="0.35">
      <c r="A1" s="12" t="s">
        <v>26</v>
      </c>
    </row>
    <row r="2" spans="1:11" ht="21" x14ac:dyDescent="0.35">
      <c r="A2" s="12"/>
    </row>
    <row r="3" spans="1:11" x14ac:dyDescent="0.25">
      <c r="A3" t="s">
        <v>22</v>
      </c>
    </row>
    <row r="4" spans="1:11" x14ac:dyDescent="0.25">
      <c r="A4" t="s">
        <v>28</v>
      </c>
    </row>
    <row r="5" spans="1:11" x14ac:dyDescent="0.25">
      <c r="A5" t="s">
        <v>27</v>
      </c>
    </row>
    <row r="7" spans="1:11" x14ac:dyDescent="0.25">
      <c r="A7" s="4" t="s">
        <v>23</v>
      </c>
      <c r="B7" s="4"/>
      <c r="C7" s="4"/>
      <c r="D7" s="4"/>
      <c r="E7" s="4"/>
      <c r="F7" s="4"/>
      <c r="G7" s="4"/>
      <c r="H7" s="4"/>
      <c r="I7" s="4"/>
      <c r="J7" s="4"/>
      <c r="K7" s="4"/>
    </row>
    <row r="8" spans="1:11" x14ac:dyDescent="0.25">
      <c r="A8" s="11" t="s">
        <v>49</v>
      </c>
      <c r="B8" s="11"/>
      <c r="C8" s="11"/>
      <c r="D8" s="11"/>
      <c r="E8" s="11"/>
      <c r="F8" s="11"/>
      <c r="G8" s="11"/>
      <c r="H8" s="11"/>
      <c r="I8" s="11"/>
      <c r="J8" s="11"/>
      <c r="K8" s="11"/>
    </row>
    <row r="9" spans="1:11" x14ac:dyDescent="0.25">
      <c r="A9" s="6" t="s">
        <v>32</v>
      </c>
      <c r="B9" s="6"/>
      <c r="C9" s="6"/>
      <c r="D9" s="6"/>
      <c r="E9" s="6"/>
      <c r="F9" s="6"/>
      <c r="G9" s="6"/>
      <c r="H9" s="6"/>
      <c r="I9" s="6"/>
      <c r="J9" s="6"/>
    </row>
    <row r="10" spans="1:11" x14ac:dyDescent="0.25">
      <c r="A10" t="s">
        <v>24</v>
      </c>
    </row>
    <row r="12" spans="1:11" x14ac:dyDescent="0.25">
      <c r="A12" t="s">
        <v>25</v>
      </c>
    </row>
    <row r="13" spans="1:11" x14ac:dyDescent="0.25">
      <c r="A13" t="s">
        <v>29</v>
      </c>
    </row>
    <row r="16" spans="1:11" ht="21" x14ac:dyDescent="0.35">
      <c r="A16" s="12" t="s">
        <v>35</v>
      </c>
      <c r="E16" s="12" t="s">
        <v>52</v>
      </c>
    </row>
    <row r="17" spans="1:5" x14ac:dyDescent="0.25">
      <c r="A17" t="s">
        <v>7</v>
      </c>
      <c r="B17" t="s">
        <v>36</v>
      </c>
      <c r="E17" t="s">
        <v>53</v>
      </c>
    </row>
    <row r="18" spans="1:5" x14ac:dyDescent="0.25">
      <c r="A18" t="s">
        <v>6</v>
      </c>
      <c r="B18" t="s">
        <v>37</v>
      </c>
      <c r="E18" t="s">
        <v>54</v>
      </c>
    </row>
    <row r="19" spans="1:5" x14ac:dyDescent="0.25">
      <c r="A19" t="s">
        <v>5</v>
      </c>
      <c r="B19" t="s">
        <v>38</v>
      </c>
      <c r="E19" t="s">
        <v>55</v>
      </c>
    </row>
    <row r="20" spans="1:5" x14ac:dyDescent="0.25">
      <c r="A20" t="s">
        <v>8</v>
      </c>
      <c r="B20" t="s">
        <v>39</v>
      </c>
    </row>
    <row r="23" spans="1:5" ht="21" x14ac:dyDescent="0.35">
      <c r="A23" s="12" t="s">
        <v>50</v>
      </c>
    </row>
    <row r="24" spans="1:5" x14ac:dyDescent="0.25">
      <c r="A24" t="s">
        <v>51</v>
      </c>
    </row>
    <row r="25" spans="1:5" x14ac:dyDescent="0.25">
      <c r="A25" s="26">
        <f ca="1">TODAY()</f>
        <v>42485</v>
      </c>
    </row>
  </sheetData>
  <sheetProtection password="DFD9" sheet="1" objects="1" scenarios="1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2"/>
  <sheetViews>
    <sheetView tabSelected="1" workbookViewId="0">
      <selection activeCell="D10" sqref="D10"/>
    </sheetView>
  </sheetViews>
  <sheetFormatPr defaultRowHeight="15" x14ac:dyDescent="0.25"/>
  <cols>
    <col min="1" max="1" width="17.140625" customWidth="1"/>
    <col min="2" max="2" width="10.7109375" customWidth="1"/>
    <col min="3" max="3" width="21.42578125" customWidth="1"/>
    <col min="8" max="9" width="9.140625" style="15"/>
    <col min="10" max="10" width="10" style="17" customWidth="1"/>
  </cols>
  <sheetData>
    <row r="1" spans="1:10" s="1" customFormat="1" ht="31.5" x14ac:dyDescent="0.35">
      <c r="A1" s="7" t="s">
        <v>1</v>
      </c>
      <c r="B1" s="8" t="s">
        <v>7</v>
      </c>
      <c r="C1" s="7" t="s">
        <v>2</v>
      </c>
      <c r="D1" s="8" t="s">
        <v>6</v>
      </c>
      <c r="H1" s="13" t="s">
        <v>17</v>
      </c>
      <c r="I1" s="13" t="s">
        <v>0</v>
      </c>
      <c r="J1" s="13" t="s">
        <v>30</v>
      </c>
    </row>
    <row r="2" spans="1:10" ht="17.25" x14ac:dyDescent="0.25">
      <c r="A2" t="s">
        <v>3</v>
      </c>
      <c r="B2" s="3">
        <v>1</v>
      </c>
      <c r="C2" t="s">
        <v>34</v>
      </c>
      <c r="H2" s="15">
        <v>0</v>
      </c>
      <c r="I2" s="16">
        <f>pHSA(B2*IF(C6="diprotic",2,1))</f>
        <v>0</v>
      </c>
      <c r="J2" s="15" t="s">
        <v>7</v>
      </c>
    </row>
    <row r="3" spans="1:10" ht="17.25" x14ac:dyDescent="0.25">
      <c r="A3" t="s">
        <v>4</v>
      </c>
      <c r="B3" s="3">
        <v>1</v>
      </c>
      <c r="C3" t="s">
        <v>34</v>
      </c>
      <c r="H3" s="15">
        <v>1</v>
      </c>
      <c r="I3" s="15">
        <v>3.4762106259211917E-2</v>
      </c>
      <c r="J3" s="15" t="s">
        <v>56</v>
      </c>
    </row>
    <row r="4" spans="1:10" x14ac:dyDescent="0.25">
      <c r="H4" s="15">
        <v>2</v>
      </c>
      <c r="I4" s="15">
        <v>6.9635928141394424E-2</v>
      </c>
      <c r="J4" s="15" t="s">
        <v>56</v>
      </c>
    </row>
    <row r="5" spans="1:10" ht="17.25" x14ac:dyDescent="0.25">
      <c r="A5" s="6" t="s">
        <v>9</v>
      </c>
      <c r="B5" s="6" t="str">
        <f>B1</f>
        <v>SA</v>
      </c>
      <c r="C5" t="s">
        <v>15</v>
      </c>
      <c r="D5" s="5">
        <v>25</v>
      </c>
      <c r="E5" t="s">
        <v>33</v>
      </c>
      <c r="H5" s="15">
        <v>3</v>
      </c>
      <c r="I5" s="15">
        <v>0.104735350520013</v>
      </c>
      <c r="J5" s="15" t="s">
        <v>56</v>
      </c>
    </row>
    <row r="6" spans="1:10" x14ac:dyDescent="0.25">
      <c r="A6" s="6" t="str">
        <f>B5</f>
        <v>SA</v>
      </c>
      <c r="B6" s="6" t="s">
        <v>10</v>
      </c>
      <c r="C6" s="4" t="s">
        <v>11</v>
      </c>
      <c r="H6" s="15">
        <v>4</v>
      </c>
      <c r="I6" s="15">
        <v>0.14017870316503681</v>
      </c>
      <c r="J6" s="15" t="s">
        <v>56</v>
      </c>
    </row>
    <row r="7" spans="1:10" x14ac:dyDescent="0.25">
      <c r="A7" s="6" t="str">
        <f>D1</f>
        <v>SB</v>
      </c>
      <c r="B7" s="6" t="s">
        <v>10</v>
      </c>
      <c r="C7" s="4" t="s">
        <v>11</v>
      </c>
      <c r="H7" s="15">
        <v>5</v>
      </c>
      <c r="I7" s="15">
        <v>0.17609125905568127</v>
      </c>
      <c r="J7" s="15" t="s">
        <v>56</v>
      </c>
    </row>
    <row r="8" spans="1:10" ht="17.25" x14ac:dyDescent="0.25">
      <c r="A8" s="6" t="s">
        <v>9</v>
      </c>
      <c r="B8" s="6" t="str">
        <f>D1</f>
        <v>SB</v>
      </c>
      <c r="C8" t="s">
        <v>14</v>
      </c>
      <c r="D8" s="10">
        <f>B2*D5*IF(C6="monoprotic",1,2)/(B3*IF(C7="monoprotic",1,2))</f>
        <v>25</v>
      </c>
      <c r="E8" t="s">
        <v>33</v>
      </c>
      <c r="H8" s="15">
        <v>6</v>
      </c>
      <c r="I8" s="15">
        <v>0.21260809288144372</v>
      </c>
      <c r="J8" s="15" t="s">
        <v>56</v>
      </c>
    </row>
    <row r="9" spans="1:10" x14ac:dyDescent="0.25">
      <c r="H9" s="15">
        <v>7</v>
      </c>
      <c r="I9" s="15">
        <v>0.24987747321659989</v>
      </c>
      <c r="J9" s="15" t="s">
        <v>56</v>
      </c>
    </row>
    <row r="10" spans="1:10" ht="17.25" x14ac:dyDescent="0.25">
      <c r="A10" t="s">
        <v>20</v>
      </c>
      <c r="D10" s="3">
        <v>50</v>
      </c>
      <c r="E10" t="s">
        <v>33</v>
      </c>
      <c r="H10" s="15">
        <v>8</v>
      </c>
      <c r="I10" s="15">
        <v>0.28806501849961358</v>
      </c>
      <c r="J10" s="15" t="s">
        <v>56</v>
      </c>
    </row>
    <row r="11" spans="1:10" ht="17.25" x14ac:dyDescent="0.25">
      <c r="A11" t="s">
        <v>16</v>
      </c>
      <c r="D11" s="3">
        <v>1</v>
      </c>
      <c r="E11" t="s">
        <v>33</v>
      </c>
      <c r="H11" s="15">
        <v>9</v>
      </c>
      <c r="I11" s="15">
        <v>0.32735893438633035</v>
      </c>
      <c r="J11" s="15" t="s">
        <v>56</v>
      </c>
    </row>
    <row r="12" spans="1:10" x14ac:dyDescent="0.25">
      <c r="A12" t="s">
        <v>21</v>
      </c>
      <c r="D12" s="11">
        <f>INT(D10/D11)</f>
        <v>50</v>
      </c>
      <c r="H12" s="15">
        <v>10</v>
      </c>
      <c r="I12" s="15">
        <v>0.36797678529459443</v>
      </c>
      <c r="J12" s="15" t="s">
        <v>56</v>
      </c>
    </row>
    <row r="13" spans="1:10" x14ac:dyDescent="0.25">
      <c r="H13" s="15">
        <v>11</v>
      </c>
      <c r="I13" s="15">
        <v>0.41017446508904926</v>
      </c>
      <c r="J13" s="15" t="s">
        <v>56</v>
      </c>
    </row>
    <row r="14" spans="1:10" x14ac:dyDescent="0.25">
      <c r="C14" s="2" t="s">
        <v>40</v>
      </c>
      <c r="H14" s="15">
        <v>12</v>
      </c>
      <c r="I14" s="15">
        <v>0.45425837176015821</v>
      </c>
      <c r="J14" s="15" t="s">
        <v>56</v>
      </c>
    </row>
    <row r="15" spans="1:10" x14ac:dyDescent="0.25">
      <c r="C15" s="4" t="s">
        <v>44</v>
      </c>
      <c r="H15" s="15">
        <v>13</v>
      </c>
      <c r="I15" s="15">
        <v>0.50060235056918534</v>
      </c>
      <c r="J15" s="15" t="s">
        <v>56</v>
      </c>
    </row>
    <row r="16" spans="1:10" ht="15.75" thickBot="1" x14ac:dyDescent="0.3">
      <c r="H16" s="15">
        <v>14</v>
      </c>
      <c r="I16" s="15">
        <v>0.54967192186827418</v>
      </c>
      <c r="J16" s="15" t="s">
        <v>56</v>
      </c>
    </row>
    <row r="17" spans="3:10" ht="15.75" thickTop="1" x14ac:dyDescent="0.25">
      <c r="C17" s="18" t="s">
        <v>46</v>
      </c>
      <c r="D17" s="19">
        <f>INDEX(H:H, COUNTA(H:H), 1)</f>
        <v>50</v>
      </c>
      <c r="H17" s="15">
        <v>15</v>
      </c>
      <c r="I17" s="15">
        <v>0.6020599913279624</v>
      </c>
      <c r="J17" s="15" t="s">
        <v>56</v>
      </c>
    </row>
    <row r="18" spans="3:10" x14ac:dyDescent="0.25">
      <c r="C18" s="20" t="s">
        <v>45</v>
      </c>
      <c r="D18" s="21">
        <f>INDEX(I:I, COUNTA(I:I), 1)</f>
        <v>13.522878745280337</v>
      </c>
      <c r="H18" s="15">
        <v>16</v>
      </c>
      <c r="I18" s="15">
        <v>0.65854134728041058</v>
      </c>
      <c r="J18" s="15" t="s">
        <v>56</v>
      </c>
    </row>
    <row r="19" spans="3:10" x14ac:dyDescent="0.25">
      <c r="C19" s="22" t="s">
        <v>47</v>
      </c>
      <c r="D19" s="25" t="str">
        <f>IF(C15="none","NA",IF(C15="phenolphthalein",IF(D18&gt;8,IF(D18&gt;10,"Red","Pink"),"Colourless"),IF(C15="screened methyl orange",IF(D18&gt;3,IF(D18&gt;4,"Green","Grey"),"Purple"))))</f>
        <v>NA</v>
      </c>
      <c r="H19" s="15">
        <v>17</v>
      </c>
      <c r="I19" s="15">
        <v>0.72015930340595691</v>
      </c>
      <c r="J19" s="15" t="s">
        <v>56</v>
      </c>
    </row>
    <row r="20" spans="3:10" ht="15.75" thickBot="1" x14ac:dyDescent="0.3">
      <c r="C20" s="23" t="s">
        <v>48</v>
      </c>
      <c r="D20" s="24" t="str">
        <f>INDEX(J:J, COUNTA(J:J), 1)</f>
        <v>xs SB + Neutral salt</v>
      </c>
      <c r="H20" s="15">
        <v>18</v>
      </c>
      <c r="I20" s="15">
        <v>0.78837041556532972</v>
      </c>
      <c r="J20" s="15" t="s">
        <v>56</v>
      </c>
    </row>
    <row r="21" spans="3:10" ht="15.75" thickTop="1" x14ac:dyDescent="0.25">
      <c r="H21" s="15">
        <v>19</v>
      </c>
      <c r="I21" s="15">
        <v>0.86530142610254379</v>
      </c>
      <c r="J21" s="15" t="s">
        <v>56</v>
      </c>
    </row>
    <row r="22" spans="3:10" x14ac:dyDescent="0.25">
      <c r="H22" s="15">
        <v>20</v>
      </c>
      <c r="I22" s="15">
        <v>0.95424250943932487</v>
      </c>
      <c r="J22" s="15" t="s">
        <v>56</v>
      </c>
    </row>
    <row r="23" spans="3:10" x14ac:dyDescent="0.25">
      <c r="H23" s="15">
        <v>21</v>
      </c>
      <c r="I23" s="15">
        <v>1.0606978403536116</v>
      </c>
      <c r="J23" s="15" t="s">
        <v>56</v>
      </c>
    </row>
    <row r="24" spans="3:10" x14ac:dyDescent="0.25">
      <c r="H24" s="15">
        <v>22</v>
      </c>
      <c r="I24" s="15">
        <v>1.1949766032160551</v>
      </c>
      <c r="J24" s="15" t="s">
        <v>56</v>
      </c>
    </row>
    <row r="25" spans="3:10" x14ac:dyDescent="0.25">
      <c r="H25" s="15">
        <v>23</v>
      </c>
      <c r="I25" s="15">
        <v>1.3802112417116061</v>
      </c>
      <c r="J25" s="15" t="s">
        <v>56</v>
      </c>
    </row>
    <row r="26" spans="3:10" x14ac:dyDescent="0.25">
      <c r="H26" s="15">
        <v>24</v>
      </c>
      <c r="I26" s="15">
        <v>1.6901960800285136</v>
      </c>
      <c r="J26" s="15" t="s">
        <v>56</v>
      </c>
    </row>
    <row r="27" spans="3:10" x14ac:dyDescent="0.25">
      <c r="H27" s="15">
        <v>25</v>
      </c>
      <c r="I27" s="15">
        <v>7</v>
      </c>
      <c r="J27" s="15" t="s">
        <v>57</v>
      </c>
    </row>
    <row r="28" spans="3:10" x14ac:dyDescent="0.25">
      <c r="H28" s="15">
        <v>26</v>
      </c>
      <c r="I28" s="15">
        <v>12.292429823902063</v>
      </c>
      <c r="J28" s="15" t="s">
        <v>58</v>
      </c>
    </row>
    <row r="29" spans="3:10" x14ac:dyDescent="0.25">
      <c r="H29" s="15">
        <v>27</v>
      </c>
      <c r="I29" s="15">
        <v>12.585026652029182</v>
      </c>
      <c r="J29" s="15" t="s">
        <v>58</v>
      </c>
    </row>
    <row r="30" spans="3:10" x14ac:dyDescent="0.25">
      <c r="H30" s="15">
        <v>28</v>
      </c>
      <c r="I30" s="15">
        <v>12.752845385118874</v>
      </c>
      <c r="J30" s="15" t="s">
        <v>58</v>
      </c>
    </row>
    <row r="31" spans="3:10" x14ac:dyDescent="0.25">
      <c r="H31" s="15">
        <v>29</v>
      </c>
      <c r="I31" s="15">
        <v>12.869666231504993</v>
      </c>
      <c r="J31" s="15" t="s">
        <v>58</v>
      </c>
    </row>
    <row r="32" spans="3:10" x14ac:dyDescent="0.25">
      <c r="H32" s="15">
        <v>30</v>
      </c>
      <c r="I32" s="15">
        <v>12.958607314841775</v>
      </c>
      <c r="J32" s="15" t="s">
        <v>58</v>
      </c>
    </row>
    <row r="33" spans="8:10" x14ac:dyDescent="0.25">
      <c r="H33" s="15">
        <v>31</v>
      </c>
      <c r="I33" s="15">
        <v>13.029963223377443</v>
      </c>
      <c r="J33" s="15" t="s">
        <v>58</v>
      </c>
    </row>
    <row r="34" spans="8:10" x14ac:dyDescent="0.25">
      <c r="H34" s="15">
        <v>32</v>
      </c>
      <c r="I34" s="15">
        <v>13.089223184341765</v>
      </c>
      <c r="J34" s="15" t="s">
        <v>58</v>
      </c>
    </row>
    <row r="35" spans="8:10" x14ac:dyDescent="0.25">
      <c r="H35" s="15">
        <v>33</v>
      </c>
      <c r="I35" s="15">
        <v>13.139661993429007</v>
      </c>
      <c r="J35" s="15" t="s">
        <v>58</v>
      </c>
    </row>
    <row r="36" spans="8:10" x14ac:dyDescent="0.25">
      <c r="H36" s="15">
        <v>34</v>
      </c>
      <c r="I36" s="15">
        <v>13.183390497797181</v>
      </c>
      <c r="J36" s="15" t="s">
        <v>58</v>
      </c>
    </row>
    <row r="37" spans="8:10" x14ac:dyDescent="0.25">
      <c r="H37" s="15">
        <v>35</v>
      </c>
      <c r="I37" s="15">
        <v>13.221848749616356</v>
      </c>
      <c r="J37" s="15" t="s">
        <v>58</v>
      </c>
    </row>
    <row r="38" spans="8:10" x14ac:dyDescent="0.25">
      <c r="H38" s="15">
        <v>36</v>
      </c>
      <c r="I38" s="15">
        <v>13.256062850147458</v>
      </c>
      <c r="J38" s="15" t="s">
        <v>58</v>
      </c>
    </row>
    <row r="39" spans="8:10" x14ac:dyDescent="0.25">
      <c r="H39" s="15">
        <v>37</v>
      </c>
      <c r="I39" s="15">
        <v>13.286789556549371</v>
      </c>
      <c r="J39" s="15" t="s">
        <v>58</v>
      </c>
    </row>
    <row r="40" spans="8:10" x14ac:dyDescent="0.25">
      <c r="H40" s="15">
        <v>38</v>
      </c>
      <c r="I40" s="15">
        <v>13.314602802853255</v>
      </c>
      <c r="J40" s="15" t="s">
        <v>58</v>
      </c>
    </row>
    <row r="41" spans="8:10" x14ac:dyDescent="0.25">
      <c r="H41" s="15">
        <v>39</v>
      </c>
      <c r="I41" s="15">
        <v>13.339948061694351</v>
      </c>
      <c r="J41" s="15" t="s">
        <v>58</v>
      </c>
    </row>
    <row r="42" spans="8:10" x14ac:dyDescent="0.25">
      <c r="H42" s="15">
        <v>40</v>
      </c>
      <c r="I42" s="15">
        <v>13.363177902412826</v>
      </c>
      <c r="J42" s="15" t="s">
        <v>58</v>
      </c>
    </row>
    <row r="43" spans="8:10" x14ac:dyDescent="0.25">
      <c r="H43" s="15">
        <v>41</v>
      </c>
      <c r="I43" s="15">
        <v>13.384576047114056</v>
      </c>
      <c r="J43" s="15" t="s">
        <v>58</v>
      </c>
    </row>
    <row r="44" spans="8:10" x14ac:dyDescent="0.25">
      <c r="H44" s="15">
        <v>42</v>
      </c>
      <c r="I44" s="15">
        <v>13.404374118677447</v>
      </c>
      <c r="J44" s="15" t="s">
        <v>58</v>
      </c>
    </row>
    <row r="45" spans="8:10" x14ac:dyDescent="0.25">
      <c r="H45" s="15">
        <v>43</v>
      </c>
      <c r="I45" s="15">
        <v>13.42276359239707</v>
      </c>
      <c r="J45" s="15" t="s">
        <v>58</v>
      </c>
    </row>
    <row r="46" spans="8:10" x14ac:dyDescent="0.25">
      <c r="H46" s="15">
        <v>44</v>
      </c>
      <c r="I46" s="15">
        <v>13.439904510215573</v>
      </c>
      <c r="J46" s="15" t="s">
        <v>58</v>
      </c>
    </row>
    <row r="47" spans="8:10" x14ac:dyDescent="0.25">
      <c r="H47" s="15">
        <v>45</v>
      </c>
      <c r="I47" s="15">
        <v>13.455931955649724</v>
      </c>
      <c r="J47" s="15" t="s">
        <v>58</v>
      </c>
    </row>
    <row r="48" spans="8:10" x14ac:dyDescent="0.25">
      <c r="H48" s="15">
        <v>46</v>
      </c>
      <c r="I48" s="15">
        <v>13.470960946014843</v>
      </c>
      <c r="J48" s="15" t="s">
        <v>58</v>
      </c>
    </row>
    <row r="49" spans="8:10" x14ac:dyDescent="0.25">
      <c r="H49" s="15">
        <v>47</v>
      </c>
      <c r="I49" s="15">
        <v>13.485090184390938</v>
      </c>
      <c r="J49" s="15" t="s">
        <v>58</v>
      </c>
    </row>
    <row r="50" spans="8:10" x14ac:dyDescent="0.25">
      <c r="H50" s="15">
        <v>48</v>
      </c>
      <c r="I50" s="15">
        <v>13.498404975897136</v>
      </c>
      <c r="J50" s="15" t="s">
        <v>58</v>
      </c>
    </row>
    <row r="51" spans="8:10" x14ac:dyDescent="0.25">
      <c r="H51" s="15">
        <v>49</v>
      </c>
      <c r="I51" s="15">
        <v>13.51097952198063</v>
      </c>
      <c r="J51" s="15" t="s">
        <v>58</v>
      </c>
    </row>
    <row r="52" spans="8:10" x14ac:dyDescent="0.25">
      <c r="H52" s="15">
        <v>50</v>
      </c>
      <c r="I52" s="15">
        <v>13.522878745280337</v>
      </c>
      <c r="J52" s="15" t="s">
        <v>58</v>
      </c>
    </row>
    <row r="53" spans="8:10" x14ac:dyDescent="0.25">
      <c r="J53" s="15"/>
    </row>
    <row r="54" spans="8:10" x14ac:dyDescent="0.25">
      <c r="J54" s="15"/>
    </row>
    <row r="55" spans="8:10" x14ac:dyDescent="0.25">
      <c r="J55" s="15"/>
    </row>
    <row r="56" spans="8:10" x14ac:dyDescent="0.25">
      <c r="J56" s="15"/>
    </row>
    <row r="57" spans="8:10" x14ac:dyDescent="0.25">
      <c r="J57" s="15"/>
    </row>
    <row r="58" spans="8:10" x14ac:dyDescent="0.25">
      <c r="J58" s="15"/>
    </row>
    <row r="59" spans="8:10" x14ac:dyDescent="0.25">
      <c r="J59" s="15"/>
    </row>
    <row r="60" spans="8:10" x14ac:dyDescent="0.25">
      <c r="J60" s="15"/>
    </row>
    <row r="61" spans="8:10" x14ac:dyDescent="0.25">
      <c r="J61" s="15"/>
    </row>
    <row r="62" spans="8:10" x14ac:dyDescent="0.25">
      <c r="J62" s="15"/>
    </row>
    <row r="63" spans="8:10" x14ac:dyDescent="0.25">
      <c r="J63" s="15"/>
    </row>
    <row r="64" spans="8:10" x14ac:dyDescent="0.25">
      <c r="J64" s="15"/>
    </row>
    <row r="65" spans="10:10" x14ac:dyDescent="0.25">
      <c r="J65" s="15"/>
    </row>
    <row r="66" spans="10:10" x14ac:dyDescent="0.25">
      <c r="J66" s="15"/>
    </row>
    <row r="67" spans="10:10" x14ac:dyDescent="0.25">
      <c r="J67" s="15"/>
    </row>
    <row r="68" spans="10:10" x14ac:dyDescent="0.25">
      <c r="J68" s="15"/>
    </row>
    <row r="69" spans="10:10" x14ac:dyDescent="0.25">
      <c r="J69" s="15"/>
    </row>
    <row r="70" spans="10:10" x14ac:dyDescent="0.25">
      <c r="J70" s="15"/>
    </row>
    <row r="71" spans="10:10" x14ac:dyDescent="0.25">
      <c r="J71" s="15"/>
    </row>
    <row r="72" spans="10:10" x14ac:dyDescent="0.25">
      <c r="J72" s="15"/>
    </row>
    <row r="73" spans="10:10" x14ac:dyDescent="0.25">
      <c r="J73" s="15"/>
    </row>
    <row r="74" spans="10:10" x14ac:dyDescent="0.25">
      <c r="J74" s="15"/>
    </row>
    <row r="75" spans="10:10" x14ac:dyDescent="0.25">
      <c r="J75" s="15"/>
    </row>
    <row r="76" spans="10:10" x14ac:dyDescent="0.25">
      <c r="J76" s="15"/>
    </row>
    <row r="77" spans="10:10" x14ac:dyDescent="0.25">
      <c r="J77" s="15"/>
    </row>
    <row r="78" spans="10:10" x14ac:dyDescent="0.25">
      <c r="J78" s="15"/>
    </row>
    <row r="79" spans="10:10" x14ac:dyDescent="0.25">
      <c r="J79" s="15"/>
    </row>
    <row r="80" spans="10:10" x14ac:dyDescent="0.25">
      <c r="J80" s="15"/>
    </row>
    <row r="81" spans="10:10" x14ac:dyDescent="0.25">
      <c r="J81" s="15"/>
    </row>
    <row r="82" spans="10:10" x14ac:dyDescent="0.25">
      <c r="J82" s="15"/>
    </row>
    <row r="83" spans="10:10" x14ac:dyDescent="0.25">
      <c r="J83" s="15"/>
    </row>
    <row r="84" spans="10:10" x14ac:dyDescent="0.25">
      <c r="J84" s="15"/>
    </row>
    <row r="85" spans="10:10" x14ac:dyDescent="0.25">
      <c r="J85" s="15"/>
    </row>
    <row r="86" spans="10:10" x14ac:dyDescent="0.25">
      <c r="J86" s="15"/>
    </row>
    <row r="87" spans="10:10" x14ac:dyDescent="0.25">
      <c r="J87" s="15"/>
    </row>
    <row r="88" spans="10:10" x14ac:dyDescent="0.25">
      <c r="J88" s="15"/>
    </row>
    <row r="89" spans="10:10" x14ac:dyDescent="0.25">
      <c r="J89" s="15"/>
    </row>
    <row r="90" spans="10:10" x14ac:dyDescent="0.25">
      <c r="J90" s="15"/>
    </row>
    <row r="91" spans="10:10" x14ac:dyDescent="0.25">
      <c r="J91" s="15"/>
    </row>
    <row r="92" spans="10:10" x14ac:dyDescent="0.25">
      <c r="J92" s="15"/>
    </row>
    <row r="93" spans="10:10" x14ac:dyDescent="0.25">
      <c r="J93" s="15"/>
    </row>
    <row r="94" spans="10:10" x14ac:dyDescent="0.25">
      <c r="J94" s="15"/>
    </row>
    <row r="95" spans="10:10" x14ac:dyDescent="0.25">
      <c r="J95" s="15"/>
    </row>
    <row r="96" spans="10:10" x14ac:dyDescent="0.25">
      <c r="J96" s="15"/>
    </row>
    <row r="97" spans="10:10" x14ac:dyDescent="0.25">
      <c r="J97" s="15"/>
    </row>
    <row r="98" spans="10:10" x14ac:dyDescent="0.25">
      <c r="J98" s="15"/>
    </row>
    <row r="99" spans="10:10" x14ac:dyDescent="0.25">
      <c r="J99" s="15"/>
    </row>
    <row r="100" spans="10:10" x14ac:dyDescent="0.25">
      <c r="J100" s="15"/>
    </row>
    <row r="101" spans="10:10" x14ac:dyDescent="0.25">
      <c r="J101" s="15"/>
    </row>
    <row r="102" spans="10:10" x14ac:dyDescent="0.25">
      <c r="J102" s="15"/>
    </row>
  </sheetData>
  <sheetProtection sheet="1" objects="1" scenarios="1"/>
  <protectedRanges>
    <protectedRange sqref="H1:J1048576" name="Range2"/>
    <protectedRange sqref="D5 C6:C7 D10:D11 B2:B3 C15" name="Range1"/>
  </protectedRanges>
  <dataValidations count="7">
    <dataValidation type="list" allowBlank="1" showInputMessage="1" showErrorMessage="1" sqref="C6:C7">
      <formula1>protic</formula1>
    </dataValidation>
    <dataValidation type="decimal" operator="lessThanOrEqual" allowBlank="1" showInputMessage="1" showErrorMessage="1" error="Max Vol = 2 x Veq" sqref="D10">
      <formula1>2*D8</formula1>
    </dataValidation>
    <dataValidation type="decimal" allowBlank="1" showInputMessage="1" showErrorMessage="1" sqref="D11">
      <formula1>0.05</formula1>
      <formula2>1</formula2>
    </dataValidation>
    <dataValidation type="list" allowBlank="1" showInputMessage="1" showErrorMessage="1" sqref="D5">
      <formula1>"10.0, 25.0"</formula1>
    </dataValidation>
    <dataValidation type="decimal" operator="lessThanOrEqual" allowBlank="1" showInputMessage="1" showErrorMessage="1" error="Vol required should not exceed 50.00 cm3. Adjust relative concentrations of acid / base." sqref="D8">
      <formula1>50</formula1>
    </dataValidation>
    <dataValidation type="decimal" allowBlank="1" showInputMessage="1" showErrorMessage="1" sqref="B2:B3">
      <formula1>0</formula1>
      <formula2>2</formula2>
    </dataValidation>
    <dataValidation type="list" allowBlank="1" showInputMessage="1" showErrorMessage="1" sqref="C15">
      <formula1>indicator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2">
          <controlPr defaultSize="0" autoLine="0" r:id="rId5">
            <anchor moveWithCells="1">
              <from>
                <xdr:col>0</xdr:col>
                <xdr:colOff>66675</xdr:colOff>
                <xdr:row>16</xdr:row>
                <xdr:rowOff>0</xdr:rowOff>
              </from>
              <to>
                <xdr:col>1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1041" r:id="rId4" name="CommandButton2"/>
      </mc:Fallback>
    </mc:AlternateContent>
    <mc:AlternateContent xmlns:mc="http://schemas.openxmlformats.org/markup-compatibility/2006">
      <mc:Choice Requires="x14">
        <control shapeId="1039" r:id="rId6" name="CommandButton1">
          <controlPr defaultSize="0" autoLine="0" r:id="rId7">
            <anchor moveWithCells="1">
              <from>
                <xdr:col>0</xdr:col>
                <xdr:colOff>66675</xdr:colOff>
                <xdr:row>18</xdr:row>
                <xdr:rowOff>19050</xdr:rowOff>
              </from>
              <to>
                <xdr:col>1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39" r:id="rId6" name="CommandButton1"/>
      </mc:Fallback>
    </mc:AlternateContent>
    <mc:AlternateContent xmlns:mc="http://schemas.openxmlformats.org/markup-compatibility/2006">
      <mc:Choice Requires="x14">
        <control shapeId="1048" r:id="rId8" name="CommandButton3">
          <controlPr defaultSize="0" autoLine="0" r:id="rId9">
            <anchor moveWithCells="1">
              <from>
                <xdr:col>0</xdr:col>
                <xdr:colOff>66675</xdr:colOff>
                <xdr:row>13</xdr:row>
                <xdr:rowOff>0</xdr:rowOff>
              </from>
              <to>
                <xdr:col>1</xdr:col>
                <xdr:colOff>0</xdr:colOff>
                <xdr:row>15</xdr:row>
                <xdr:rowOff>161925</xdr:rowOff>
              </to>
            </anchor>
          </controlPr>
        </control>
      </mc:Choice>
      <mc:Fallback>
        <control shapeId="1048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02"/>
  <sheetViews>
    <sheetView workbookViewId="0">
      <selection activeCell="C15" sqref="C15"/>
    </sheetView>
  </sheetViews>
  <sheetFormatPr defaultRowHeight="15" x14ac:dyDescent="0.25"/>
  <cols>
    <col min="1" max="1" width="17.140625" customWidth="1"/>
    <col min="2" max="2" width="10.7109375" customWidth="1"/>
    <col min="3" max="3" width="21.42578125" customWidth="1"/>
    <col min="8" max="9" width="9.140625" style="15"/>
    <col min="10" max="10" width="10" style="17" customWidth="1"/>
  </cols>
  <sheetData>
    <row r="1" spans="1:10" s="1" customFormat="1" ht="31.5" x14ac:dyDescent="0.35">
      <c r="A1" s="7" t="s">
        <v>1</v>
      </c>
      <c r="B1" s="8" t="s">
        <v>6</v>
      </c>
      <c r="C1" s="7" t="s">
        <v>2</v>
      </c>
      <c r="D1" s="8" t="s">
        <v>7</v>
      </c>
      <c r="H1" s="13" t="s">
        <v>17</v>
      </c>
      <c r="I1" s="13" t="s">
        <v>0</v>
      </c>
      <c r="J1" s="13" t="s">
        <v>30</v>
      </c>
    </row>
    <row r="2" spans="1:10" ht="17.25" x14ac:dyDescent="0.25">
      <c r="A2" t="s">
        <v>3</v>
      </c>
      <c r="B2" s="3">
        <v>1</v>
      </c>
      <c r="C2" t="s">
        <v>34</v>
      </c>
      <c r="H2" s="15">
        <v>0</v>
      </c>
      <c r="I2" s="16">
        <f>pHSB(B3*IF(C6="diprotic",2,1))</f>
        <v>14</v>
      </c>
      <c r="J2" s="15" t="s">
        <v>6</v>
      </c>
    </row>
    <row r="3" spans="1:10" ht="17.25" x14ac:dyDescent="0.25">
      <c r="A3" t="s">
        <v>4</v>
      </c>
      <c r="B3" s="3">
        <v>1</v>
      </c>
      <c r="C3" t="s">
        <v>34</v>
      </c>
      <c r="H3" s="15">
        <v>1</v>
      </c>
      <c r="I3" s="15">
        <v>13.965237893740788</v>
      </c>
      <c r="J3" s="15" t="s">
        <v>59</v>
      </c>
    </row>
    <row r="4" spans="1:10" x14ac:dyDescent="0.25">
      <c r="H4" s="15">
        <v>2</v>
      </c>
      <c r="I4" s="15">
        <v>13.930364071858605</v>
      </c>
      <c r="J4" s="15" t="s">
        <v>59</v>
      </c>
    </row>
    <row r="5" spans="1:10" ht="17.25" x14ac:dyDescent="0.25">
      <c r="A5" s="6" t="s">
        <v>9</v>
      </c>
      <c r="B5" s="6" t="str">
        <f>B1</f>
        <v>SB</v>
      </c>
      <c r="C5" t="s">
        <v>15</v>
      </c>
      <c r="D5" s="5">
        <v>25</v>
      </c>
      <c r="E5" t="s">
        <v>33</v>
      </c>
      <c r="H5" s="15">
        <v>3</v>
      </c>
      <c r="I5" s="15">
        <v>13.895264649479987</v>
      </c>
      <c r="J5" s="15" t="s">
        <v>59</v>
      </c>
    </row>
    <row r="6" spans="1:10" x14ac:dyDescent="0.25">
      <c r="A6" s="6" t="str">
        <f>B5</f>
        <v>SB</v>
      </c>
      <c r="B6" s="6" t="s">
        <v>10</v>
      </c>
      <c r="C6" s="4" t="s">
        <v>11</v>
      </c>
      <c r="H6" s="15">
        <v>4</v>
      </c>
      <c r="I6" s="15">
        <v>13.859821296834964</v>
      </c>
      <c r="J6" s="15" t="s">
        <v>59</v>
      </c>
    </row>
    <row r="7" spans="1:10" x14ac:dyDescent="0.25">
      <c r="A7" s="6" t="str">
        <f>D1</f>
        <v>SA</v>
      </c>
      <c r="B7" s="6" t="s">
        <v>10</v>
      </c>
      <c r="C7" s="4" t="s">
        <v>11</v>
      </c>
      <c r="H7" s="15">
        <v>5</v>
      </c>
      <c r="I7" s="15">
        <v>13.823908740944319</v>
      </c>
      <c r="J7" s="15" t="s">
        <v>59</v>
      </c>
    </row>
    <row r="8" spans="1:10" ht="17.25" x14ac:dyDescent="0.25">
      <c r="A8" s="6" t="s">
        <v>9</v>
      </c>
      <c r="B8" s="6" t="str">
        <f>D1</f>
        <v>SA</v>
      </c>
      <c r="C8" t="s">
        <v>14</v>
      </c>
      <c r="D8" s="10">
        <f>B3*D5*IF(C6="monoprotic",1,2)/(B2*IF(C7="monoprotic",1,2))</f>
        <v>25</v>
      </c>
      <c r="E8" t="s">
        <v>33</v>
      </c>
      <c r="H8" s="15">
        <v>6</v>
      </c>
      <c r="I8" s="15">
        <v>13.787391907118556</v>
      </c>
      <c r="J8" s="15" t="s">
        <v>59</v>
      </c>
    </row>
    <row r="9" spans="1:10" x14ac:dyDescent="0.25">
      <c r="H9" s="15">
        <v>7</v>
      </c>
      <c r="I9" s="15">
        <v>13.7501225267834</v>
      </c>
      <c r="J9" s="15" t="s">
        <v>59</v>
      </c>
    </row>
    <row r="10" spans="1:10" ht="17.25" x14ac:dyDescent="0.25">
      <c r="A10" t="s">
        <v>20</v>
      </c>
      <c r="D10" s="3">
        <v>24</v>
      </c>
      <c r="E10" t="s">
        <v>33</v>
      </c>
      <c r="H10" s="15">
        <v>8</v>
      </c>
      <c r="I10" s="15">
        <v>13.711934981500386</v>
      </c>
      <c r="J10" s="15" t="s">
        <v>59</v>
      </c>
    </row>
    <row r="11" spans="1:10" ht="17.25" x14ac:dyDescent="0.25">
      <c r="A11" t="s">
        <v>16</v>
      </c>
      <c r="D11" s="3">
        <v>0.05</v>
      </c>
      <c r="E11" t="s">
        <v>33</v>
      </c>
      <c r="H11" s="15">
        <v>9</v>
      </c>
      <c r="I11" s="15">
        <v>13.67264106561367</v>
      </c>
      <c r="J11" s="15" t="s">
        <v>59</v>
      </c>
    </row>
    <row r="12" spans="1:10" x14ac:dyDescent="0.25">
      <c r="A12" t="s">
        <v>21</v>
      </c>
      <c r="D12" s="11">
        <f>INT(D10/D11)</f>
        <v>480</v>
      </c>
      <c r="H12" s="15">
        <v>10</v>
      </c>
      <c r="I12" s="15">
        <v>13.632023214705406</v>
      </c>
      <c r="J12" s="15" t="s">
        <v>59</v>
      </c>
    </row>
    <row r="13" spans="1:10" x14ac:dyDescent="0.25">
      <c r="H13" s="15">
        <v>11</v>
      </c>
      <c r="I13" s="15">
        <v>13.58982553491095</v>
      </c>
      <c r="J13" s="15" t="s">
        <v>59</v>
      </c>
    </row>
    <row r="14" spans="1:10" x14ac:dyDescent="0.25">
      <c r="C14" s="2" t="s">
        <v>40</v>
      </c>
      <c r="H14" s="15">
        <v>12</v>
      </c>
      <c r="I14" s="15">
        <v>13.545741628239842</v>
      </c>
      <c r="J14" s="15" t="s">
        <v>59</v>
      </c>
    </row>
    <row r="15" spans="1:10" x14ac:dyDescent="0.25">
      <c r="C15" s="4" t="s">
        <v>44</v>
      </c>
      <c r="H15" s="15">
        <v>13</v>
      </c>
      <c r="I15" s="15">
        <v>13.499397649430815</v>
      </c>
      <c r="J15" s="15" t="s">
        <v>59</v>
      </c>
    </row>
    <row r="16" spans="1:10" ht="15.75" thickBot="1" x14ac:dyDescent="0.3">
      <c r="H16" s="15">
        <v>14</v>
      </c>
      <c r="I16" s="15">
        <v>13.450328078131726</v>
      </c>
      <c r="J16" s="15" t="s">
        <v>59</v>
      </c>
    </row>
    <row r="17" spans="3:10" ht="15.75" thickTop="1" x14ac:dyDescent="0.25">
      <c r="C17" s="18" t="s">
        <v>46</v>
      </c>
      <c r="D17" s="19">
        <f>INDEX(H:H, COUNTA(H:H), 1)</f>
        <v>26</v>
      </c>
      <c r="H17" s="15">
        <v>15</v>
      </c>
      <c r="I17" s="15">
        <v>13.397940008672037</v>
      </c>
      <c r="J17" s="15" t="s">
        <v>59</v>
      </c>
    </row>
    <row r="18" spans="3:10" x14ac:dyDescent="0.25">
      <c r="C18" s="20" t="s">
        <v>45</v>
      </c>
      <c r="D18" s="21">
        <f>INDEX(I:I, COUNTA(I:I), 1)</f>
        <v>1.7075701760979363</v>
      </c>
      <c r="H18" s="15">
        <v>16</v>
      </c>
      <c r="I18" s="15">
        <v>13.34145865271959</v>
      </c>
      <c r="J18" s="15" t="s">
        <v>59</v>
      </c>
    </row>
    <row r="19" spans="3:10" x14ac:dyDescent="0.25">
      <c r="C19" s="22" t="s">
        <v>47</v>
      </c>
      <c r="D19" s="25" t="str">
        <f>IF(C15="none","NA",IF(C15="phenolphthalein",IF(D18&gt;8,IF(D18&gt;10,"Red","Pink"),"Colourless"),IF(C15="screened methyl orange",IF(D18&gt;3,IF(D18&gt;4,"Green","Grey"),"Purple"))))</f>
        <v>NA</v>
      </c>
      <c r="H19" s="15">
        <v>17</v>
      </c>
      <c r="I19" s="15">
        <v>13.279840696594043</v>
      </c>
      <c r="J19" s="15" t="s">
        <v>59</v>
      </c>
    </row>
    <row r="20" spans="3:10" ht="15.75" thickBot="1" x14ac:dyDescent="0.3">
      <c r="C20" s="23" t="s">
        <v>48</v>
      </c>
      <c r="D20" s="24" t="str">
        <f>INDEX(J:J, COUNTA(J:J), 1)</f>
        <v>xs SA + Neutral salt</v>
      </c>
      <c r="H20" s="15">
        <v>18</v>
      </c>
      <c r="I20" s="15">
        <v>13.21162958443467</v>
      </c>
      <c r="J20" s="15" t="s">
        <v>59</v>
      </c>
    </row>
    <row r="21" spans="3:10" ht="15.75" thickTop="1" x14ac:dyDescent="0.25">
      <c r="H21" s="15">
        <v>19</v>
      </c>
      <c r="I21" s="15">
        <v>13.134698573897456</v>
      </c>
      <c r="J21" s="15" t="s">
        <v>59</v>
      </c>
    </row>
    <row r="22" spans="3:10" x14ac:dyDescent="0.25">
      <c r="H22" s="15">
        <v>20</v>
      </c>
      <c r="I22" s="15">
        <v>13.045757490560675</v>
      </c>
      <c r="J22" s="15" t="s">
        <v>59</v>
      </c>
    </row>
    <row r="23" spans="3:10" x14ac:dyDescent="0.25">
      <c r="H23" s="15">
        <v>21</v>
      </c>
      <c r="I23" s="15">
        <v>12.939302159646388</v>
      </c>
      <c r="J23" s="15" t="s">
        <v>59</v>
      </c>
    </row>
    <row r="24" spans="3:10" x14ac:dyDescent="0.25">
      <c r="H24" s="15">
        <v>22</v>
      </c>
      <c r="I24" s="15">
        <v>12.805023396783945</v>
      </c>
      <c r="J24" s="15" t="s">
        <v>59</v>
      </c>
    </row>
    <row r="25" spans="3:10" x14ac:dyDescent="0.25">
      <c r="H25" s="15">
        <v>23</v>
      </c>
      <c r="I25" s="15">
        <v>12.619788758288394</v>
      </c>
      <c r="J25" s="15" t="s">
        <v>59</v>
      </c>
    </row>
    <row r="26" spans="3:10" x14ac:dyDescent="0.25">
      <c r="H26" s="15">
        <v>24</v>
      </c>
      <c r="I26" s="15">
        <v>12.309803919971486</v>
      </c>
      <c r="J26" s="15" t="s">
        <v>59</v>
      </c>
    </row>
    <row r="27" spans="3:10" x14ac:dyDescent="0.25">
      <c r="H27" s="15">
        <v>24.05</v>
      </c>
      <c r="I27" s="15">
        <v>12.287084600328036</v>
      </c>
      <c r="J27" s="15" t="s">
        <v>59</v>
      </c>
    </row>
    <row r="28" spans="3:10" x14ac:dyDescent="0.25">
      <c r="H28" s="15">
        <v>24.1</v>
      </c>
      <c r="I28" s="15">
        <v>12.26316103081291</v>
      </c>
      <c r="J28" s="15" t="s">
        <v>59</v>
      </c>
    </row>
    <row r="29" spans="3:10" x14ac:dyDescent="0.25">
      <c r="H29" s="15">
        <v>24.15</v>
      </c>
      <c r="I29" s="15">
        <v>12.237895390063315</v>
      </c>
      <c r="J29" s="15" t="s">
        <v>59</v>
      </c>
    </row>
    <row r="30" spans="3:10" x14ac:dyDescent="0.25">
      <c r="H30" s="15">
        <v>24.2</v>
      </c>
      <c r="I30" s="15">
        <v>12.211124877490022</v>
      </c>
      <c r="J30" s="15" t="s">
        <v>59</v>
      </c>
    </row>
    <row r="31" spans="3:10" x14ac:dyDescent="0.25">
      <c r="H31" s="15">
        <v>24.25</v>
      </c>
      <c r="I31" s="15">
        <v>12.18265502855807</v>
      </c>
      <c r="J31" s="15" t="s">
        <v>59</v>
      </c>
    </row>
    <row r="32" spans="3:10" x14ac:dyDescent="0.25">
      <c r="H32" s="15">
        <v>24.3</v>
      </c>
      <c r="I32" s="15">
        <v>12.152251127457927</v>
      </c>
      <c r="J32" s="15" t="s">
        <v>59</v>
      </c>
    </row>
    <row r="33" spans="8:10" x14ac:dyDescent="0.25">
      <c r="H33" s="15">
        <v>24.35</v>
      </c>
      <c r="I33" s="15">
        <v>12.119626213065381</v>
      </c>
      <c r="J33" s="15" t="s">
        <v>59</v>
      </c>
    </row>
    <row r="34" spans="8:10" x14ac:dyDescent="0.25">
      <c r="H34" s="15">
        <v>24.4</v>
      </c>
      <c r="I34" s="15">
        <v>12.084424288045406</v>
      </c>
      <c r="J34" s="15" t="s">
        <v>59</v>
      </c>
    </row>
    <row r="35" spans="8:10" x14ac:dyDescent="0.25">
      <c r="H35" s="15">
        <v>24.45</v>
      </c>
      <c r="I35" s="15">
        <v>12.046196386860533</v>
      </c>
      <c r="J35" s="15" t="s">
        <v>59</v>
      </c>
    </row>
    <row r="36" spans="8:10" x14ac:dyDescent="0.25">
      <c r="H36" s="15">
        <v>24.5</v>
      </c>
      <c r="I36" s="15">
        <v>12.004364805402449</v>
      </c>
      <c r="J36" s="15" t="s">
        <v>59</v>
      </c>
    </row>
    <row r="37" spans="8:10" x14ac:dyDescent="0.25">
      <c r="H37" s="15">
        <v>24.55</v>
      </c>
      <c r="I37" s="15">
        <v>11.95816886164104</v>
      </c>
      <c r="J37" s="15" t="s">
        <v>59</v>
      </c>
    </row>
    <row r="38" spans="8:10" x14ac:dyDescent="0.25">
      <c r="H38" s="15">
        <v>24.6</v>
      </c>
      <c r="I38" s="15">
        <v>11.906578328198263</v>
      </c>
      <c r="J38" s="15" t="s">
        <v>59</v>
      </c>
    </row>
    <row r="39" spans="8:10" x14ac:dyDescent="0.25">
      <c r="H39" s="15">
        <v>24.65</v>
      </c>
      <c r="I39" s="15">
        <v>11.848148778171833</v>
      </c>
      <c r="J39" s="15" t="s">
        <v>59</v>
      </c>
    </row>
    <row r="40" spans="8:10" x14ac:dyDescent="0.25">
      <c r="H40" s="15">
        <v>24.7</v>
      </c>
      <c r="I40" s="15">
        <v>11.780764859319522</v>
      </c>
      <c r="J40" s="15" t="s">
        <v>59</v>
      </c>
    </row>
    <row r="41" spans="8:10" x14ac:dyDescent="0.25">
      <c r="H41" s="15">
        <v>24.75</v>
      </c>
      <c r="I41" s="15">
        <v>11.701146923590294</v>
      </c>
      <c r="J41" s="15" t="s">
        <v>59</v>
      </c>
    </row>
    <row r="42" spans="8:10" x14ac:dyDescent="0.25">
      <c r="H42" s="15">
        <v>24.8</v>
      </c>
      <c r="I42" s="15">
        <v>11.603800659557685</v>
      </c>
      <c r="J42" s="15" t="s">
        <v>59</v>
      </c>
    </row>
    <row r="43" spans="8:10" x14ac:dyDescent="0.25">
      <c r="H43" s="15">
        <v>24.85</v>
      </c>
      <c r="I43" s="15">
        <v>11.478426109701498</v>
      </c>
      <c r="J43" s="15" t="s">
        <v>59</v>
      </c>
    </row>
    <row r="44" spans="8:10" x14ac:dyDescent="0.25">
      <c r="H44" s="15">
        <v>24.9</v>
      </c>
      <c r="I44" s="15">
        <v>11.30189944109644</v>
      </c>
      <c r="J44" s="15" t="s">
        <v>59</v>
      </c>
    </row>
    <row r="45" spans="8:10" x14ac:dyDescent="0.25">
      <c r="H45" s="15">
        <v>24.95</v>
      </c>
      <c r="I45" s="15">
        <v>11.000434505140582</v>
      </c>
      <c r="J45" s="15" t="s">
        <v>59</v>
      </c>
    </row>
    <row r="46" spans="8:10" x14ac:dyDescent="0.25">
      <c r="H46" s="15">
        <v>25</v>
      </c>
      <c r="I46" s="15">
        <v>7</v>
      </c>
      <c r="J46" s="15" t="s">
        <v>57</v>
      </c>
    </row>
    <row r="47" spans="8:10" x14ac:dyDescent="0.25">
      <c r="H47" s="15">
        <v>25.05</v>
      </c>
      <c r="I47" s="15">
        <v>3.0004340708591246</v>
      </c>
      <c r="J47" s="15" t="s">
        <v>60</v>
      </c>
    </row>
    <row r="48" spans="8:10" x14ac:dyDescent="0.25">
      <c r="H48" s="15">
        <v>25.1</v>
      </c>
      <c r="I48" s="15">
        <v>2.6998377126400777</v>
      </c>
      <c r="J48" s="15" t="s">
        <v>60</v>
      </c>
    </row>
    <row r="49" spans="8:10" x14ac:dyDescent="0.25">
      <c r="H49" s="15">
        <v>25.15</v>
      </c>
      <c r="I49" s="15">
        <v>2.5241796915147336</v>
      </c>
      <c r="J49" s="15" t="s">
        <v>60</v>
      </c>
    </row>
    <row r="50" spans="8:10" x14ac:dyDescent="0.25">
      <c r="H50" s="15">
        <v>25.2</v>
      </c>
      <c r="I50" s="15">
        <v>2.3996737280814457</v>
      </c>
      <c r="J50" s="15" t="s">
        <v>60</v>
      </c>
    </row>
    <row r="51" spans="8:10" x14ac:dyDescent="0.25">
      <c r="H51" s="15">
        <v>25.25</v>
      </c>
      <c r="I51" s="15">
        <v>2.3031960574204891</v>
      </c>
      <c r="J51" s="15" t="s">
        <v>60</v>
      </c>
    </row>
    <row r="52" spans="8:10" x14ac:dyDescent="0.25">
      <c r="H52" s="15">
        <v>25.3</v>
      </c>
      <c r="I52" s="15">
        <v>2.2244467237489798</v>
      </c>
      <c r="J52" s="15" t="s">
        <v>60</v>
      </c>
    </row>
    <row r="53" spans="8:10" x14ac:dyDescent="0.25">
      <c r="H53" s="15">
        <v>25.35</v>
      </c>
      <c r="I53" s="15">
        <v>2.1579314173778736</v>
      </c>
      <c r="J53" s="15" t="s">
        <v>60</v>
      </c>
    </row>
    <row r="54" spans="8:10" x14ac:dyDescent="0.25">
      <c r="H54" s="15">
        <v>25.4</v>
      </c>
      <c r="I54" s="15">
        <v>2.1003705582659928</v>
      </c>
      <c r="J54" s="15" t="s">
        <v>60</v>
      </c>
    </row>
    <row r="55" spans="8:10" x14ac:dyDescent="0.25">
      <c r="H55" s="15">
        <v>25.45</v>
      </c>
      <c r="I55" s="15">
        <v>2.0496486633652848</v>
      </c>
      <c r="J55" s="15" t="s">
        <v>60</v>
      </c>
    </row>
    <row r="56" spans="8:10" x14ac:dyDescent="0.25">
      <c r="H56" s="15">
        <v>25.5</v>
      </c>
      <c r="I56" s="15">
        <v>2.0043213737826426</v>
      </c>
      <c r="J56" s="15" t="s">
        <v>60</v>
      </c>
    </row>
    <row r="57" spans="8:10" x14ac:dyDescent="0.25">
      <c r="H57" s="15">
        <v>25.55</v>
      </c>
      <c r="I57" s="15">
        <v>1.9633584638780692</v>
      </c>
      <c r="J57" s="15" t="s">
        <v>60</v>
      </c>
    </row>
    <row r="58" spans="8:10" x14ac:dyDescent="0.25">
      <c r="H58" s="15">
        <v>25.6</v>
      </c>
      <c r="I58" s="15">
        <v>1.9259992533596959</v>
      </c>
      <c r="J58" s="15" t="s">
        <v>60</v>
      </c>
    </row>
    <row r="59" spans="8:10" x14ac:dyDescent="0.25">
      <c r="H59" s="15">
        <v>25.65</v>
      </c>
      <c r="I59" s="15">
        <v>1.8916661061369744</v>
      </c>
      <c r="J59" s="15" t="s">
        <v>60</v>
      </c>
    </row>
    <row r="60" spans="8:10" x14ac:dyDescent="0.25">
      <c r="H60" s="15">
        <v>25.7</v>
      </c>
      <c r="I60" s="15">
        <v>1.859909925854393</v>
      </c>
      <c r="J60" s="15" t="s">
        <v>60</v>
      </c>
    </row>
    <row r="61" spans="8:10" x14ac:dyDescent="0.25">
      <c r="H61" s="15">
        <v>25.75</v>
      </c>
      <c r="I61" s="15">
        <v>1.8303747831935504</v>
      </c>
      <c r="J61" s="15" t="s">
        <v>60</v>
      </c>
    </row>
    <row r="62" spans="8:10" x14ac:dyDescent="0.25">
      <c r="H62" s="15">
        <v>25.8</v>
      </c>
      <c r="I62" s="15">
        <v>1.8027737187695265</v>
      </c>
      <c r="J62" s="15" t="s">
        <v>60</v>
      </c>
    </row>
    <row r="63" spans="8:10" x14ac:dyDescent="0.25">
      <c r="H63" s="15">
        <v>25.85</v>
      </c>
      <c r="I63" s="15">
        <v>1.7768720185123992</v>
      </c>
      <c r="J63" s="15" t="s">
        <v>60</v>
      </c>
    </row>
    <row r="64" spans="8:10" x14ac:dyDescent="0.25">
      <c r="H64" s="15">
        <v>25.9</v>
      </c>
      <c r="I64" s="15">
        <v>1.7524752859167034</v>
      </c>
      <c r="J64" s="15" t="s">
        <v>60</v>
      </c>
    </row>
    <row r="65" spans="8:10" x14ac:dyDescent="0.25">
      <c r="H65" s="15">
        <v>25.95</v>
      </c>
      <c r="I65" s="15">
        <v>1.729420589556844</v>
      </c>
      <c r="J65" s="15" t="s">
        <v>60</v>
      </c>
    </row>
    <row r="66" spans="8:10" x14ac:dyDescent="0.25">
      <c r="H66" s="15">
        <v>26</v>
      </c>
      <c r="I66" s="15">
        <v>1.7075701760979363</v>
      </c>
      <c r="J66" s="15" t="s">
        <v>60</v>
      </c>
    </row>
    <row r="67" spans="8:10" x14ac:dyDescent="0.25">
      <c r="J67" s="15"/>
    </row>
    <row r="68" spans="8:10" x14ac:dyDescent="0.25">
      <c r="J68" s="15"/>
    </row>
    <row r="69" spans="8:10" x14ac:dyDescent="0.25">
      <c r="J69" s="15"/>
    </row>
    <row r="70" spans="8:10" x14ac:dyDescent="0.25">
      <c r="J70" s="15"/>
    </row>
    <row r="71" spans="8:10" x14ac:dyDescent="0.25">
      <c r="J71" s="15"/>
    </row>
    <row r="72" spans="8:10" x14ac:dyDescent="0.25">
      <c r="J72" s="15"/>
    </row>
    <row r="73" spans="8:10" x14ac:dyDescent="0.25">
      <c r="J73" s="15"/>
    </row>
    <row r="74" spans="8:10" x14ac:dyDescent="0.25">
      <c r="J74" s="15"/>
    </row>
    <row r="75" spans="8:10" x14ac:dyDescent="0.25">
      <c r="J75" s="15"/>
    </row>
    <row r="76" spans="8:10" x14ac:dyDescent="0.25">
      <c r="J76" s="15"/>
    </row>
    <row r="77" spans="8:10" x14ac:dyDescent="0.25">
      <c r="J77" s="15"/>
    </row>
    <row r="78" spans="8:10" x14ac:dyDescent="0.25">
      <c r="J78" s="15"/>
    </row>
    <row r="79" spans="8:10" x14ac:dyDescent="0.25">
      <c r="J79" s="15"/>
    </row>
    <row r="80" spans="8:10" x14ac:dyDescent="0.25">
      <c r="J80" s="15"/>
    </row>
    <row r="81" spans="10:10" x14ac:dyDescent="0.25">
      <c r="J81" s="15"/>
    </row>
    <row r="82" spans="10:10" x14ac:dyDescent="0.25">
      <c r="J82" s="15"/>
    </row>
    <row r="83" spans="10:10" x14ac:dyDescent="0.25">
      <c r="J83" s="15"/>
    </row>
    <row r="84" spans="10:10" x14ac:dyDescent="0.25">
      <c r="J84" s="15"/>
    </row>
    <row r="85" spans="10:10" x14ac:dyDescent="0.25">
      <c r="J85" s="15"/>
    </row>
    <row r="86" spans="10:10" x14ac:dyDescent="0.25">
      <c r="J86" s="15"/>
    </row>
    <row r="87" spans="10:10" x14ac:dyDescent="0.25">
      <c r="J87" s="15"/>
    </row>
    <row r="88" spans="10:10" x14ac:dyDescent="0.25">
      <c r="J88" s="15"/>
    </row>
    <row r="89" spans="10:10" x14ac:dyDescent="0.25">
      <c r="J89" s="15"/>
    </row>
    <row r="90" spans="10:10" x14ac:dyDescent="0.25">
      <c r="J90" s="15"/>
    </row>
    <row r="91" spans="10:10" x14ac:dyDescent="0.25">
      <c r="J91" s="15"/>
    </row>
    <row r="92" spans="10:10" x14ac:dyDescent="0.25">
      <c r="J92" s="15"/>
    </row>
    <row r="93" spans="10:10" x14ac:dyDescent="0.25">
      <c r="J93" s="15"/>
    </row>
    <row r="94" spans="10:10" x14ac:dyDescent="0.25">
      <c r="J94" s="15"/>
    </row>
    <row r="95" spans="10:10" x14ac:dyDescent="0.25">
      <c r="J95" s="15"/>
    </row>
    <row r="96" spans="10:10" x14ac:dyDescent="0.25">
      <c r="J96" s="15"/>
    </row>
    <row r="97" spans="10:10" x14ac:dyDescent="0.25">
      <c r="J97" s="15"/>
    </row>
    <row r="98" spans="10:10" x14ac:dyDescent="0.25">
      <c r="J98" s="15"/>
    </row>
    <row r="99" spans="10:10" x14ac:dyDescent="0.25">
      <c r="J99" s="15"/>
    </row>
    <row r="100" spans="10:10" x14ac:dyDescent="0.25">
      <c r="J100" s="15"/>
    </row>
    <row r="101" spans="10:10" x14ac:dyDescent="0.25">
      <c r="J101" s="15"/>
    </row>
    <row r="102" spans="10:10" x14ac:dyDescent="0.25">
      <c r="J102" s="15"/>
    </row>
  </sheetData>
  <sheetProtection sheet="1" objects="1" scenarios="1"/>
  <protectedRanges>
    <protectedRange sqref="H1:J1048576" name="Range2"/>
    <protectedRange sqref="D5 C6:C7 D10:D11 B2:B3 C15" name="Range1"/>
  </protectedRanges>
  <dataValidations count="6">
    <dataValidation type="list" allowBlank="1" showInputMessage="1" showErrorMessage="1" sqref="C6:C7">
      <formula1>protic</formula1>
    </dataValidation>
    <dataValidation type="decimal" operator="lessThanOrEqual" allowBlank="1" showInputMessage="1" showErrorMessage="1" error="Max Vol = 2 x Veq" sqref="D10">
      <formula1>2*D8</formula1>
    </dataValidation>
    <dataValidation type="decimal" allowBlank="1" showInputMessage="1" showErrorMessage="1" sqref="D11">
      <formula1>0.05</formula1>
      <formula2>1</formula2>
    </dataValidation>
    <dataValidation type="list" allowBlank="1" showInputMessage="1" showErrorMessage="1" sqref="D5">
      <formula1>"10.0, 25.0"</formula1>
    </dataValidation>
    <dataValidation type="decimal" allowBlank="1" showInputMessage="1" showErrorMessage="1" sqref="B2:B3">
      <formula1>0</formula1>
      <formula2>2</formula2>
    </dataValidation>
    <dataValidation type="list" allowBlank="1" showInputMessage="1" showErrorMessage="1" sqref="C15">
      <formula1>indicator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8" r:id="rId4" name="CommandButton1">
          <controlPr defaultSize="0" autoLine="0" r:id="rId5">
            <anchor moveWithCells="1">
              <from>
                <xdr:col>0</xdr:col>
                <xdr:colOff>66675</xdr:colOff>
                <xdr:row>18</xdr:row>
                <xdr:rowOff>19050</xdr:rowOff>
              </from>
              <to>
                <xdr:col>1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7178" r:id="rId4" name="CommandButton1"/>
      </mc:Fallback>
    </mc:AlternateContent>
    <mc:AlternateContent xmlns:mc="http://schemas.openxmlformats.org/markup-compatibility/2006">
      <mc:Choice Requires="x14">
        <control shapeId="7179" r:id="rId6" name="CommandButton3">
          <controlPr defaultSize="0" autoLine="0" r:id="rId7">
            <anchor moveWithCells="1">
              <from>
                <xdr:col>0</xdr:col>
                <xdr:colOff>66675</xdr:colOff>
                <xdr:row>16</xdr:row>
                <xdr:rowOff>0</xdr:rowOff>
              </from>
              <to>
                <xdr:col>1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7179" r:id="rId6" name="CommandButton3"/>
      </mc:Fallback>
    </mc:AlternateContent>
    <mc:AlternateContent xmlns:mc="http://schemas.openxmlformats.org/markup-compatibility/2006">
      <mc:Choice Requires="x14">
        <control shapeId="7180" r:id="rId8" name="CommandButton2">
          <controlPr defaultSize="0" autoLine="0" r:id="rId9">
            <anchor moveWithCells="1">
              <from>
                <xdr:col>0</xdr:col>
                <xdr:colOff>66675</xdr:colOff>
                <xdr:row>13</xdr:row>
                <xdr:rowOff>0</xdr:rowOff>
              </from>
              <to>
                <xdr:col>1</xdr:col>
                <xdr:colOff>0</xdr:colOff>
                <xdr:row>15</xdr:row>
                <xdr:rowOff>161925</xdr:rowOff>
              </to>
            </anchor>
          </controlPr>
        </control>
      </mc:Choice>
      <mc:Fallback>
        <control shapeId="7180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02"/>
  <sheetViews>
    <sheetView workbookViewId="0">
      <selection activeCell="B2" sqref="B2"/>
    </sheetView>
  </sheetViews>
  <sheetFormatPr defaultRowHeight="15" x14ac:dyDescent="0.25"/>
  <cols>
    <col min="1" max="1" width="17.140625" customWidth="1"/>
    <col min="2" max="2" width="10.7109375" customWidth="1"/>
    <col min="3" max="3" width="21.42578125" customWidth="1"/>
    <col min="8" max="9" width="9.140625" style="15"/>
    <col min="10" max="10" width="10" style="17" customWidth="1"/>
  </cols>
  <sheetData>
    <row r="1" spans="1:10" s="1" customFormat="1" ht="31.5" x14ac:dyDescent="0.35">
      <c r="A1" s="7" t="s">
        <v>1</v>
      </c>
      <c r="B1" s="8" t="s">
        <v>5</v>
      </c>
      <c r="C1" s="7" t="s">
        <v>2</v>
      </c>
      <c r="D1" s="8" t="s">
        <v>6</v>
      </c>
      <c r="H1" s="13" t="s">
        <v>17</v>
      </c>
      <c r="I1" s="13" t="s">
        <v>0</v>
      </c>
      <c r="J1" s="13" t="s">
        <v>31</v>
      </c>
    </row>
    <row r="2" spans="1:10" ht="17.25" x14ac:dyDescent="0.25">
      <c r="A2" t="s">
        <v>3</v>
      </c>
      <c r="B2" s="3">
        <v>1</v>
      </c>
      <c r="C2" t="s">
        <v>34</v>
      </c>
      <c r="H2" s="15">
        <v>0</v>
      </c>
      <c r="I2" s="16">
        <f>pHWA(B2,B4)</f>
        <v>2.4430283238465815</v>
      </c>
      <c r="J2" s="15" t="s">
        <v>5</v>
      </c>
    </row>
    <row r="3" spans="1:10" ht="17.25" x14ac:dyDescent="0.25">
      <c r="A3" t="s">
        <v>4</v>
      </c>
      <c r="B3" s="3">
        <v>1</v>
      </c>
      <c r="C3" t="s">
        <v>34</v>
      </c>
      <c r="J3" s="15"/>
    </row>
    <row r="4" spans="1:10" ht="17.25" x14ac:dyDescent="0.25">
      <c r="A4" t="s">
        <v>18</v>
      </c>
      <c r="B4" s="9">
        <v>1.2999999999999999E-5</v>
      </c>
      <c r="C4" t="s">
        <v>34</v>
      </c>
      <c r="J4" s="15"/>
    </row>
    <row r="5" spans="1:10" ht="17.25" x14ac:dyDescent="0.25">
      <c r="A5" s="6" t="s">
        <v>9</v>
      </c>
      <c r="B5" s="6" t="str">
        <f>B1</f>
        <v>WA</v>
      </c>
      <c r="C5" t="s">
        <v>15</v>
      </c>
      <c r="D5" s="5">
        <v>25</v>
      </c>
      <c r="E5" t="s">
        <v>33</v>
      </c>
      <c r="J5" s="15"/>
    </row>
    <row r="6" spans="1:10" x14ac:dyDescent="0.25">
      <c r="A6" s="6" t="str">
        <f>B5</f>
        <v>WA</v>
      </c>
      <c r="B6" s="6" t="s">
        <v>10</v>
      </c>
      <c r="C6" s="6" t="s">
        <v>11</v>
      </c>
      <c r="J6" s="15"/>
    </row>
    <row r="7" spans="1:10" x14ac:dyDescent="0.25">
      <c r="A7" s="6" t="str">
        <f>D1</f>
        <v>SB</v>
      </c>
      <c r="B7" s="6" t="s">
        <v>10</v>
      </c>
      <c r="C7" s="4" t="s">
        <v>11</v>
      </c>
      <c r="J7" s="15"/>
    </row>
    <row r="8" spans="1:10" ht="17.25" x14ac:dyDescent="0.25">
      <c r="A8" s="6" t="s">
        <v>9</v>
      </c>
      <c r="B8" s="6" t="str">
        <f>D1</f>
        <v>SB</v>
      </c>
      <c r="C8" t="s">
        <v>14</v>
      </c>
      <c r="D8" s="10">
        <f>B2*D5*IF(C6="monoprotic",1,2)/(B3*IF(C7="monoprotic",1,2))</f>
        <v>25</v>
      </c>
      <c r="E8" t="s">
        <v>33</v>
      </c>
      <c r="J8" s="15"/>
    </row>
    <row r="9" spans="1:10" x14ac:dyDescent="0.25">
      <c r="J9" s="15"/>
    </row>
    <row r="10" spans="1:10" ht="17.25" x14ac:dyDescent="0.25">
      <c r="A10" t="s">
        <v>20</v>
      </c>
      <c r="D10" s="3">
        <v>50</v>
      </c>
      <c r="E10" t="s">
        <v>33</v>
      </c>
      <c r="J10" s="15"/>
    </row>
    <row r="11" spans="1:10" ht="17.25" x14ac:dyDescent="0.25">
      <c r="A11" t="s">
        <v>16</v>
      </c>
      <c r="D11" s="3">
        <v>1</v>
      </c>
      <c r="E11" t="s">
        <v>33</v>
      </c>
      <c r="J11" s="15"/>
    </row>
    <row r="12" spans="1:10" x14ac:dyDescent="0.25">
      <c r="A12" t="s">
        <v>21</v>
      </c>
      <c r="D12" s="11">
        <f>INT(D10/D11)</f>
        <v>50</v>
      </c>
      <c r="J12" s="15"/>
    </row>
    <row r="13" spans="1:10" x14ac:dyDescent="0.25">
      <c r="J13" s="15"/>
    </row>
    <row r="14" spans="1:10" x14ac:dyDescent="0.25">
      <c r="C14" s="2" t="s">
        <v>40</v>
      </c>
      <c r="J14" s="15"/>
    </row>
    <row r="15" spans="1:10" x14ac:dyDescent="0.25">
      <c r="C15" s="4" t="s">
        <v>44</v>
      </c>
      <c r="J15" s="15"/>
    </row>
    <row r="16" spans="1:10" ht="15.75" thickBot="1" x14ac:dyDescent="0.3">
      <c r="J16" s="15"/>
    </row>
    <row r="17" spans="3:10" ht="15.75" thickTop="1" x14ac:dyDescent="0.25">
      <c r="C17" s="18" t="s">
        <v>46</v>
      </c>
      <c r="D17" s="19">
        <f>INDEX(H:H, COUNTA(H:H), 1)</f>
        <v>0</v>
      </c>
      <c r="J17" s="15"/>
    </row>
    <row r="18" spans="3:10" x14ac:dyDescent="0.25">
      <c r="C18" s="20" t="s">
        <v>45</v>
      </c>
      <c r="D18" s="21">
        <f>INDEX(I:I, COUNTA(I:I), 1)</f>
        <v>2.4430283238465815</v>
      </c>
      <c r="J18" s="15"/>
    </row>
    <row r="19" spans="3:10" x14ac:dyDescent="0.25">
      <c r="C19" s="22" t="s">
        <v>47</v>
      </c>
      <c r="D19" s="25" t="str">
        <f>IF(C15="none","NA",IF(C15="phenolphthalein",IF(D18&gt;8,IF(D18&gt;10,"Red","Pink"),"Colourless"),IF(C15="screened methyl orange",IF(D18&gt;3,IF(D18&gt;4,"Green","Grey"),"Purple"))))</f>
        <v>NA</v>
      </c>
      <c r="J19" s="15"/>
    </row>
    <row r="20" spans="3:10" ht="15.75" thickBot="1" x14ac:dyDescent="0.3">
      <c r="C20" s="23" t="s">
        <v>48</v>
      </c>
      <c r="D20" s="24" t="str">
        <f>INDEX(J:J, COUNTA(J:J), 1)</f>
        <v>WA</v>
      </c>
      <c r="J20" s="15"/>
    </row>
    <row r="21" spans="3:10" ht="15.75" thickTop="1" x14ac:dyDescent="0.25">
      <c r="J21" s="15"/>
    </row>
    <row r="22" spans="3:10" x14ac:dyDescent="0.25">
      <c r="J22" s="15"/>
    </row>
    <row r="23" spans="3:10" x14ac:dyDescent="0.25">
      <c r="J23" s="15"/>
    </row>
    <row r="24" spans="3:10" x14ac:dyDescent="0.25">
      <c r="J24" s="15"/>
    </row>
    <row r="25" spans="3:10" x14ac:dyDescent="0.25">
      <c r="J25" s="15"/>
    </row>
    <row r="26" spans="3:10" x14ac:dyDescent="0.25">
      <c r="J26" s="15"/>
    </row>
    <row r="27" spans="3:10" x14ac:dyDescent="0.25">
      <c r="J27" s="15"/>
    </row>
    <row r="28" spans="3:10" x14ac:dyDescent="0.25">
      <c r="J28" s="15"/>
    </row>
    <row r="29" spans="3:10" x14ac:dyDescent="0.25">
      <c r="J29" s="15"/>
    </row>
    <row r="30" spans="3:10" x14ac:dyDescent="0.25">
      <c r="J30" s="15"/>
    </row>
    <row r="31" spans="3:10" x14ac:dyDescent="0.25">
      <c r="J31" s="15"/>
    </row>
    <row r="32" spans="3:10" x14ac:dyDescent="0.25">
      <c r="J32" s="15"/>
    </row>
    <row r="33" spans="10:10" x14ac:dyDescent="0.25">
      <c r="J33" s="15"/>
    </row>
    <row r="34" spans="10:10" x14ac:dyDescent="0.25">
      <c r="J34" s="15"/>
    </row>
    <row r="35" spans="10:10" x14ac:dyDescent="0.25">
      <c r="J35" s="15"/>
    </row>
    <row r="36" spans="10:10" x14ac:dyDescent="0.25">
      <c r="J36" s="15"/>
    </row>
    <row r="37" spans="10:10" x14ac:dyDescent="0.25">
      <c r="J37" s="15"/>
    </row>
    <row r="38" spans="10:10" x14ac:dyDescent="0.25">
      <c r="J38" s="15"/>
    </row>
    <row r="39" spans="10:10" x14ac:dyDescent="0.25">
      <c r="J39" s="15"/>
    </row>
    <row r="40" spans="10:10" x14ac:dyDescent="0.25">
      <c r="J40" s="15"/>
    </row>
    <row r="41" spans="10:10" x14ac:dyDescent="0.25">
      <c r="J41" s="15"/>
    </row>
    <row r="42" spans="10:10" x14ac:dyDescent="0.25">
      <c r="J42" s="15"/>
    </row>
    <row r="43" spans="10:10" x14ac:dyDescent="0.25">
      <c r="J43" s="15"/>
    </row>
    <row r="44" spans="10:10" x14ac:dyDescent="0.25">
      <c r="J44" s="15"/>
    </row>
    <row r="45" spans="10:10" x14ac:dyDescent="0.25">
      <c r="J45" s="15"/>
    </row>
    <row r="46" spans="10:10" x14ac:dyDescent="0.25">
      <c r="J46" s="15"/>
    </row>
    <row r="47" spans="10:10" x14ac:dyDescent="0.25">
      <c r="J47" s="15"/>
    </row>
    <row r="48" spans="10:10" x14ac:dyDescent="0.25">
      <c r="J48" s="15"/>
    </row>
    <row r="49" spans="10:10" x14ac:dyDescent="0.25">
      <c r="J49" s="15"/>
    </row>
    <row r="50" spans="10:10" x14ac:dyDescent="0.25">
      <c r="J50" s="15"/>
    </row>
    <row r="51" spans="10:10" x14ac:dyDescent="0.25">
      <c r="J51" s="15"/>
    </row>
    <row r="52" spans="10:10" x14ac:dyDescent="0.25">
      <c r="J52" s="15"/>
    </row>
    <row r="53" spans="10:10" x14ac:dyDescent="0.25">
      <c r="J53" s="15"/>
    </row>
    <row r="54" spans="10:10" x14ac:dyDescent="0.25">
      <c r="J54" s="15"/>
    </row>
    <row r="55" spans="10:10" x14ac:dyDescent="0.25">
      <c r="J55" s="15"/>
    </row>
    <row r="56" spans="10:10" x14ac:dyDescent="0.25">
      <c r="J56" s="15"/>
    </row>
    <row r="57" spans="10:10" x14ac:dyDescent="0.25">
      <c r="J57" s="15"/>
    </row>
    <row r="58" spans="10:10" x14ac:dyDescent="0.25">
      <c r="J58" s="15"/>
    </row>
    <row r="59" spans="10:10" x14ac:dyDescent="0.25">
      <c r="J59" s="15"/>
    </row>
    <row r="60" spans="10:10" x14ac:dyDescent="0.25">
      <c r="J60" s="15"/>
    </row>
    <row r="61" spans="10:10" x14ac:dyDescent="0.25">
      <c r="J61" s="15"/>
    </row>
    <row r="62" spans="10:10" x14ac:dyDescent="0.25">
      <c r="J62" s="15"/>
    </row>
    <row r="63" spans="10:10" x14ac:dyDescent="0.25">
      <c r="J63" s="15"/>
    </row>
    <row r="64" spans="10:10" x14ac:dyDescent="0.25">
      <c r="J64" s="15"/>
    </row>
    <row r="65" spans="10:10" x14ac:dyDescent="0.25">
      <c r="J65" s="15"/>
    </row>
    <row r="66" spans="10:10" x14ac:dyDescent="0.25">
      <c r="J66" s="15"/>
    </row>
    <row r="67" spans="10:10" x14ac:dyDescent="0.25">
      <c r="J67" s="15"/>
    </row>
    <row r="68" spans="10:10" x14ac:dyDescent="0.25">
      <c r="J68" s="15"/>
    </row>
    <row r="69" spans="10:10" x14ac:dyDescent="0.25">
      <c r="J69" s="15"/>
    </row>
    <row r="70" spans="10:10" x14ac:dyDescent="0.25">
      <c r="J70" s="15"/>
    </row>
    <row r="71" spans="10:10" x14ac:dyDescent="0.25">
      <c r="J71" s="15"/>
    </row>
    <row r="72" spans="10:10" x14ac:dyDescent="0.25">
      <c r="J72" s="15"/>
    </row>
    <row r="73" spans="10:10" x14ac:dyDescent="0.25">
      <c r="J73" s="15"/>
    </row>
    <row r="74" spans="10:10" x14ac:dyDescent="0.25">
      <c r="J74" s="15"/>
    </row>
    <row r="75" spans="10:10" x14ac:dyDescent="0.25">
      <c r="J75" s="15"/>
    </row>
    <row r="76" spans="10:10" x14ac:dyDescent="0.25">
      <c r="J76" s="15"/>
    </row>
    <row r="77" spans="10:10" x14ac:dyDescent="0.25">
      <c r="J77" s="15"/>
    </row>
    <row r="78" spans="10:10" x14ac:dyDescent="0.25">
      <c r="J78" s="15"/>
    </row>
    <row r="79" spans="10:10" x14ac:dyDescent="0.25">
      <c r="J79" s="15"/>
    </row>
    <row r="80" spans="10:10" x14ac:dyDescent="0.25">
      <c r="J80" s="15"/>
    </row>
    <row r="81" spans="10:10" x14ac:dyDescent="0.25">
      <c r="J81" s="15"/>
    </row>
    <row r="82" spans="10:10" x14ac:dyDescent="0.25">
      <c r="J82" s="15"/>
    </row>
    <row r="83" spans="10:10" x14ac:dyDescent="0.25">
      <c r="J83" s="15"/>
    </row>
    <row r="84" spans="10:10" x14ac:dyDescent="0.25">
      <c r="J84" s="15"/>
    </row>
    <row r="85" spans="10:10" x14ac:dyDescent="0.25">
      <c r="J85" s="15"/>
    </row>
    <row r="86" spans="10:10" x14ac:dyDescent="0.25">
      <c r="J86" s="15"/>
    </row>
    <row r="87" spans="10:10" x14ac:dyDescent="0.25">
      <c r="J87" s="15"/>
    </row>
    <row r="88" spans="10:10" x14ac:dyDescent="0.25">
      <c r="J88" s="15"/>
    </row>
    <row r="89" spans="10:10" x14ac:dyDescent="0.25">
      <c r="J89" s="15"/>
    </row>
    <row r="90" spans="10:10" x14ac:dyDescent="0.25">
      <c r="J90" s="15"/>
    </row>
    <row r="91" spans="10:10" x14ac:dyDescent="0.25">
      <c r="J91" s="15"/>
    </row>
    <row r="92" spans="10:10" x14ac:dyDescent="0.25">
      <c r="J92" s="15"/>
    </row>
    <row r="93" spans="10:10" x14ac:dyDescent="0.25">
      <c r="J93" s="15"/>
    </row>
    <row r="94" spans="10:10" x14ac:dyDescent="0.25">
      <c r="J94" s="15"/>
    </row>
    <row r="95" spans="10:10" x14ac:dyDescent="0.25">
      <c r="J95" s="15"/>
    </row>
    <row r="96" spans="10:10" x14ac:dyDescent="0.25">
      <c r="J96" s="15"/>
    </row>
    <row r="97" spans="10:10" x14ac:dyDescent="0.25">
      <c r="J97" s="15"/>
    </row>
    <row r="98" spans="10:10" x14ac:dyDescent="0.25">
      <c r="J98" s="15"/>
    </row>
    <row r="99" spans="10:10" x14ac:dyDescent="0.25">
      <c r="J99" s="15"/>
    </row>
    <row r="100" spans="10:10" x14ac:dyDescent="0.25">
      <c r="J100" s="15"/>
    </row>
    <row r="101" spans="10:10" x14ac:dyDescent="0.25">
      <c r="J101" s="15"/>
    </row>
    <row r="102" spans="10:10" x14ac:dyDescent="0.25">
      <c r="J102" s="15"/>
    </row>
  </sheetData>
  <sheetProtection sheet="1" objects="1" scenarios="1"/>
  <protectedRanges>
    <protectedRange sqref="H1:J1048576" name="Range2"/>
    <protectedRange sqref="D5 C6:C7 D10:D11 B2:B4 C15" name="Range1"/>
  </protectedRanges>
  <dataValidations count="7">
    <dataValidation type="list" allowBlank="1" showInputMessage="1" showErrorMessage="1" sqref="C7">
      <formula1>protic</formula1>
    </dataValidation>
    <dataValidation type="decimal" operator="lessThanOrEqual" allowBlank="1" showInputMessage="1" showErrorMessage="1" error="Max Vol = 2 x Veq" sqref="D10">
      <formula1>2*D8</formula1>
    </dataValidation>
    <dataValidation type="decimal" allowBlank="1" showInputMessage="1" showErrorMessage="1" sqref="D11">
      <formula1>0.05</formula1>
      <formula2>1</formula2>
    </dataValidation>
    <dataValidation type="list" allowBlank="1" showInputMessage="1" showErrorMessage="1" sqref="D5">
      <formula1>"10.0, 25.0"</formula1>
    </dataValidation>
    <dataValidation type="decimal" operator="lessThan" allowBlank="1" showInputMessage="1" showErrorMessage="1" error="Ka / Kb should be a very small number." sqref="B4">
      <formula1>0.1</formula1>
    </dataValidation>
    <dataValidation type="decimal" allowBlank="1" showInputMessage="1" showErrorMessage="1" sqref="B2:B3">
      <formula1>0</formula1>
      <formula2>2</formula2>
    </dataValidation>
    <dataValidation type="list" allowBlank="1" showInputMessage="1" showErrorMessage="1" sqref="C15">
      <formula1>indicator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1">
          <controlPr defaultSize="0" autoLine="0" r:id="rId5">
            <anchor moveWithCells="1">
              <from>
                <xdr:col>0</xdr:col>
                <xdr:colOff>66675</xdr:colOff>
                <xdr:row>18</xdr:row>
                <xdr:rowOff>0</xdr:rowOff>
              </from>
              <to>
                <xdr:col>1</xdr:col>
                <xdr:colOff>0</xdr:colOff>
                <xdr:row>19</xdr:row>
                <xdr:rowOff>171450</xdr:rowOff>
              </to>
            </anchor>
          </controlPr>
        </control>
      </mc:Choice>
      <mc:Fallback>
        <control shapeId="2061" r:id="rId4" name="CommandButton1"/>
      </mc:Fallback>
    </mc:AlternateContent>
    <mc:AlternateContent xmlns:mc="http://schemas.openxmlformats.org/markup-compatibility/2006">
      <mc:Choice Requires="x14">
        <control shapeId="2062" r:id="rId6" name="CommandButton2">
          <controlPr defaultSize="0" autoLine="0" r:id="rId7">
            <anchor moveWithCells="1">
              <from>
                <xdr:col>0</xdr:col>
                <xdr:colOff>66675</xdr:colOff>
                <xdr:row>16</xdr:row>
                <xdr:rowOff>0</xdr:rowOff>
              </from>
              <to>
                <xdr:col>1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2062" r:id="rId6" name="CommandButton2"/>
      </mc:Fallback>
    </mc:AlternateContent>
    <mc:AlternateContent xmlns:mc="http://schemas.openxmlformats.org/markup-compatibility/2006">
      <mc:Choice Requires="x14">
        <control shapeId="2063" r:id="rId8" name="CommandButton3">
          <controlPr defaultSize="0" autoLine="0" r:id="rId9">
            <anchor moveWithCells="1">
              <from>
                <xdr:col>0</xdr:col>
                <xdr:colOff>66675</xdr:colOff>
                <xdr:row>13</xdr:row>
                <xdr:rowOff>0</xdr:rowOff>
              </from>
              <to>
                <xdr:col>1</xdr:col>
                <xdr:colOff>0</xdr:colOff>
                <xdr:row>15</xdr:row>
                <xdr:rowOff>161925</xdr:rowOff>
              </to>
            </anchor>
          </controlPr>
        </control>
      </mc:Choice>
      <mc:Fallback>
        <control shapeId="2063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02"/>
  <sheetViews>
    <sheetView workbookViewId="0">
      <selection activeCell="C22" sqref="C22"/>
    </sheetView>
  </sheetViews>
  <sheetFormatPr defaultRowHeight="15" x14ac:dyDescent="0.25"/>
  <cols>
    <col min="1" max="1" width="17.140625" customWidth="1"/>
    <col min="2" max="2" width="10.7109375" customWidth="1"/>
    <col min="3" max="3" width="21.42578125" customWidth="1"/>
    <col min="8" max="9" width="9.140625" style="15"/>
    <col min="10" max="10" width="10" style="17" customWidth="1"/>
  </cols>
  <sheetData>
    <row r="1" spans="1:10" s="1" customFormat="1" ht="31.5" x14ac:dyDescent="0.35">
      <c r="A1" s="7" t="s">
        <v>1</v>
      </c>
      <c r="B1" s="8" t="s">
        <v>8</v>
      </c>
      <c r="C1" s="7" t="s">
        <v>2</v>
      </c>
      <c r="D1" s="8" t="s">
        <v>7</v>
      </c>
      <c r="H1" s="13" t="s">
        <v>17</v>
      </c>
      <c r="I1" s="13" t="s">
        <v>0</v>
      </c>
      <c r="J1" s="13" t="s">
        <v>31</v>
      </c>
    </row>
    <row r="2" spans="1:10" ht="17.25" x14ac:dyDescent="0.25">
      <c r="A2" t="s">
        <v>3</v>
      </c>
      <c r="B2" s="3">
        <v>1</v>
      </c>
      <c r="C2" t="s">
        <v>34</v>
      </c>
      <c r="H2" s="15">
        <v>0</v>
      </c>
      <c r="I2" s="16">
        <f>pHWB(B3,B4)</f>
        <v>11.627636252551653</v>
      </c>
      <c r="J2" s="15" t="s">
        <v>8</v>
      </c>
    </row>
    <row r="3" spans="1:10" ht="17.25" x14ac:dyDescent="0.25">
      <c r="A3" t="s">
        <v>4</v>
      </c>
      <c r="B3" s="3">
        <v>1</v>
      </c>
      <c r="C3" t="s">
        <v>34</v>
      </c>
      <c r="J3" s="15"/>
    </row>
    <row r="4" spans="1:10" ht="17.25" x14ac:dyDescent="0.25">
      <c r="A4" t="s">
        <v>19</v>
      </c>
      <c r="B4" s="9">
        <v>1.8E-5</v>
      </c>
      <c r="C4" t="s">
        <v>34</v>
      </c>
      <c r="J4" s="15"/>
    </row>
    <row r="5" spans="1:10" ht="17.25" x14ac:dyDescent="0.25">
      <c r="A5" s="6" t="s">
        <v>9</v>
      </c>
      <c r="B5" s="6" t="str">
        <f>B1</f>
        <v>WB</v>
      </c>
      <c r="C5" t="s">
        <v>15</v>
      </c>
      <c r="D5" s="5">
        <v>25</v>
      </c>
      <c r="E5" t="s">
        <v>33</v>
      </c>
      <c r="J5" s="15"/>
    </row>
    <row r="6" spans="1:10" x14ac:dyDescent="0.25">
      <c r="A6" s="6" t="str">
        <f>B5</f>
        <v>WB</v>
      </c>
      <c r="B6" s="6" t="s">
        <v>10</v>
      </c>
      <c r="C6" s="6" t="s">
        <v>11</v>
      </c>
      <c r="J6" s="15"/>
    </row>
    <row r="7" spans="1:10" x14ac:dyDescent="0.25">
      <c r="A7" s="6" t="str">
        <f>D1</f>
        <v>SA</v>
      </c>
      <c r="B7" s="6" t="s">
        <v>10</v>
      </c>
      <c r="C7" s="4" t="s">
        <v>11</v>
      </c>
      <c r="J7" s="15"/>
    </row>
    <row r="8" spans="1:10" ht="17.25" x14ac:dyDescent="0.25">
      <c r="A8" s="6" t="s">
        <v>9</v>
      </c>
      <c r="B8" s="6" t="str">
        <f>D1</f>
        <v>SA</v>
      </c>
      <c r="C8" t="s">
        <v>14</v>
      </c>
      <c r="D8" s="10">
        <f>B3*D5*IF(C6="monoprotic",1,2)/(B2*IF(C7="monoprotic",1,2))</f>
        <v>25</v>
      </c>
      <c r="E8" t="s">
        <v>33</v>
      </c>
      <c r="J8" s="15"/>
    </row>
    <row r="9" spans="1:10" x14ac:dyDescent="0.25">
      <c r="J9" s="15"/>
    </row>
    <row r="10" spans="1:10" ht="17.25" x14ac:dyDescent="0.25">
      <c r="A10" t="s">
        <v>20</v>
      </c>
      <c r="D10" s="3">
        <v>50</v>
      </c>
      <c r="E10" t="s">
        <v>33</v>
      </c>
      <c r="J10" s="15"/>
    </row>
    <row r="11" spans="1:10" ht="17.25" x14ac:dyDescent="0.25">
      <c r="A11" t="s">
        <v>16</v>
      </c>
      <c r="D11" s="3">
        <v>1</v>
      </c>
      <c r="E11" t="s">
        <v>33</v>
      </c>
      <c r="J11" s="15"/>
    </row>
    <row r="12" spans="1:10" x14ac:dyDescent="0.25">
      <c r="A12" t="s">
        <v>21</v>
      </c>
      <c r="D12" s="11">
        <f>INT(D10/D11)</f>
        <v>50</v>
      </c>
      <c r="J12" s="15"/>
    </row>
    <row r="13" spans="1:10" x14ac:dyDescent="0.25">
      <c r="J13" s="15"/>
    </row>
    <row r="14" spans="1:10" x14ac:dyDescent="0.25">
      <c r="C14" s="2" t="s">
        <v>40</v>
      </c>
      <c r="J14" s="15"/>
    </row>
    <row r="15" spans="1:10" x14ac:dyDescent="0.25">
      <c r="C15" s="4" t="s">
        <v>44</v>
      </c>
      <c r="J15" s="15"/>
    </row>
    <row r="16" spans="1:10" ht="15.75" thickBot="1" x14ac:dyDescent="0.3">
      <c r="J16" s="15"/>
    </row>
    <row r="17" spans="3:10" ht="15.75" thickTop="1" x14ac:dyDescent="0.25">
      <c r="C17" s="18" t="s">
        <v>46</v>
      </c>
      <c r="D17" s="19">
        <f>INDEX(H:H, COUNTA(H:H), 1)</f>
        <v>0</v>
      </c>
      <c r="J17" s="15"/>
    </row>
    <row r="18" spans="3:10" x14ac:dyDescent="0.25">
      <c r="C18" s="20" t="s">
        <v>45</v>
      </c>
      <c r="D18" s="21">
        <f>INDEX(I:I, COUNTA(I:I), 1)</f>
        <v>11.627636252551653</v>
      </c>
      <c r="J18" s="15"/>
    </row>
    <row r="19" spans="3:10" x14ac:dyDescent="0.25">
      <c r="C19" s="22" t="s">
        <v>47</v>
      </c>
      <c r="D19" s="25" t="str">
        <f>IF(C15="none","NA",IF(C15="phenolphthalein",IF(D18&gt;8,IF(D18&gt;10,"Red","Pink"),"Colourless"),IF(C15="screened methyl orange",IF(D18&gt;3,IF(D18&gt;4,"Green","Grey"),"Purple"))))</f>
        <v>NA</v>
      </c>
      <c r="J19" s="15"/>
    </row>
    <row r="20" spans="3:10" ht="15.75" thickBot="1" x14ac:dyDescent="0.3">
      <c r="C20" s="23" t="s">
        <v>48</v>
      </c>
      <c r="D20" s="24" t="str">
        <f>INDEX(J:J, COUNTA(J:J), 1)</f>
        <v>WB</v>
      </c>
      <c r="J20" s="15"/>
    </row>
    <row r="21" spans="3:10" ht="15.75" thickTop="1" x14ac:dyDescent="0.25">
      <c r="J21" s="15"/>
    </row>
    <row r="22" spans="3:10" x14ac:dyDescent="0.25">
      <c r="J22" s="15"/>
    </row>
    <row r="23" spans="3:10" x14ac:dyDescent="0.25">
      <c r="J23" s="15"/>
    </row>
    <row r="24" spans="3:10" x14ac:dyDescent="0.25">
      <c r="J24" s="15"/>
    </row>
    <row r="25" spans="3:10" x14ac:dyDescent="0.25">
      <c r="J25" s="15"/>
    </row>
    <row r="26" spans="3:10" x14ac:dyDescent="0.25">
      <c r="J26" s="15"/>
    </row>
    <row r="27" spans="3:10" x14ac:dyDescent="0.25">
      <c r="J27" s="15"/>
    </row>
    <row r="28" spans="3:10" x14ac:dyDescent="0.25">
      <c r="J28" s="15"/>
    </row>
    <row r="29" spans="3:10" x14ac:dyDescent="0.25">
      <c r="J29" s="15"/>
    </row>
    <row r="30" spans="3:10" x14ac:dyDescent="0.25">
      <c r="J30" s="15"/>
    </row>
    <row r="31" spans="3:10" x14ac:dyDescent="0.25">
      <c r="J31" s="15"/>
    </row>
    <row r="32" spans="3:10" x14ac:dyDescent="0.25">
      <c r="J32" s="15"/>
    </row>
    <row r="33" spans="10:10" x14ac:dyDescent="0.25">
      <c r="J33" s="15"/>
    </row>
    <row r="34" spans="10:10" x14ac:dyDescent="0.25">
      <c r="J34" s="15"/>
    </row>
    <row r="35" spans="10:10" x14ac:dyDescent="0.25">
      <c r="J35" s="15"/>
    </row>
    <row r="36" spans="10:10" x14ac:dyDescent="0.25">
      <c r="J36" s="15"/>
    </row>
    <row r="37" spans="10:10" x14ac:dyDescent="0.25">
      <c r="J37" s="15"/>
    </row>
    <row r="38" spans="10:10" x14ac:dyDescent="0.25">
      <c r="J38" s="15"/>
    </row>
    <row r="39" spans="10:10" x14ac:dyDescent="0.25">
      <c r="J39" s="15"/>
    </row>
    <row r="40" spans="10:10" x14ac:dyDescent="0.25">
      <c r="J40" s="15"/>
    </row>
    <row r="41" spans="10:10" x14ac:dyDescent="0.25">
      <c r="J41" s="15"/>
    </row>
    <row r="42" spans="10:10" x14ac:dyDescent="0.25">
      <c r="J42" s="15"/>
    </row>
    <row r="43" spans="10:10" x14ac:dyDescent="0.25">
      <c r="J43" s="15"/>
    </row>
    <row r="44" spans="10:10" x14ac:dyDescent="0.25">
      <c r="J44" s="15"/>
    </row>
    <row r="45" spans="10:10" x14ac:dyDescent="0.25">
      <c r="J45" s="15"/>
    </row>
    <row r="46" spans="10:10" x14ac:dyDescent="0.25">
      <c r="J46" s="15"/>
    </row>
    <row r="47" spans="10:10" x14ac:dyDescent="0.25">
      <c r="J47" s="15"/>
    </row>
    <row r="48" spans="10:10" x14ac:dyDescent="0.25">
      <c r="J48" s="15"/>
    </row>
    <row r="49" spans="10:10" x14ac:dyDescent="0.25">
      <c r="J49" s="15"/>
    </row>
    <row r="50" spans="10:10" x14ac:dyDescent="0.25">
      <c r="J50" s="15"/>
    </row>
    <row r="51" spans="10:10" x14ac:dyDescent="0.25">
      <c r="J51" s="15"/>
    </row>
    <row r="52" spans="10:10" x14ac:dyDescent="0.25">
      <c r="J52" s="15"/>
    </row>
    <row r="53" spans="10:10" x14ac:dyDescent="0.25">
      <c r="J53" s="15"/>
    </row>
    <row r="54" spans="10:10" x14ac:dyDescent="0.25">
      <c r="J54" s="15"/>
    </row>
    <row r="55" spans="10:10" x14ac:dyDescent="0.25">
      <c r="J55" s="15"/>
    </row>
    <row r="56" spans="10:10" x14ac:dyDescent="0.25">
      <c r="J56" s="15"/>
    </row>
    <row r="57" spans="10:10" x14ac:dyDescent="0.25">
      <c r="J57" s="15"/>
    </row>
    <row r="58" spans="10:10" x14ac:dyDescent="0.25">
      <c r="J58" s="15"/>
    </row>
    <row r="59" spans="10:10" x14ac:dyDescent="0.25">
      <c r="J59" s="15"/>
    </row>
    <row r="60" spans="10:10" x14ac:dyDescent="0.25">
      <c r="J60" s="15"/>
    </row>
    <row r="61" spans="10:10" x14ac:dyDescent="0.25">
      <c r="J61" s="15"/>
    </row>
    <row r="62" spans="10:10" x14ac:dyDescent="0.25">
      <c r="J62" s="15"/>
    </row>
    <row r="63" spans="10:10" x14ac:dyDescent="0.25">
      <c r="J63" s="15"/>
    </row>
    <row r="64" spans="10:10" x14ac:dyDescent="0.25">
      <c r="J64" s="15"/>
    </row>
    <row r="65" spans="10:10" x14ac:dyDescent="0.25">
      <c r="J65" s="15"/>
    </row>
    <row r="66" spans="10:10" x14ac:dyDescent="0.25">
      <c r="J66" s="15"/>
    </row>
    <row r="67" spans="10:10" x14ac:dyDescent="0.25">
      <c r="J67" s="15"/>
    </row>
    <row r="68" spans="10:10" x14ac:dyDescent="0.25">
      <c r="J68" s="15"/>
    </row>
    <row r="69" spans="10:10" x14ac:dyDescent="0.25">
      <c r="J69" s="15"/>
    </row>
    <row r="70" spans="10:10" x14ac:dyDescent="0.25">
      <c r="J70" s="15"/>
    </row>
    <row r="71" spans="10:10" x14ac:dyDescent="0.25">
      <c r="J71" s="15"/>
    </row>
    <row r="72" spans="10:10" x14ac:dyDescent="0.25">
      <c r="J72" s="15"/>
    </row>
    <row r="73" spans="10:10" x14ac:dyDescent="0.25">
      <c r="J73" s="15"/>
    </row>
    <row r="74" spans="10:10" x14ac:dyDescent="0.25">
      <c r="J74" s="15"/>
    </row>
    <row r="75" spans="10:10" x14ac:dyDescent="0.25">
      <c r="J75" s="15"/>
    </row>
    <row r="76" spans="10:10" x14ac:dyDescent="0.25">
      <c r="J76" s="15"/>
    </row>
    <row r="77" spans="10:10" x14ac:dyDescent="0.25">
      <c r="J77" s="15"/>
    </row>
    <row r="78" spans="10:10" x14ac:dyDescent="0.25">
      <c r="J78" s="15"/>
    </row>
    <row r="79" spans="10:10" x14ac:dyDescent="0.25">
      <c r="J79" s="15"/>
    </row>
    <row r="80" spans="10:10" x14ac:dyDescent="0.25">
      <c r="J80" s="15"/>
    </row>
    <row r="81" spans="10:10" x14ac:dyDescent="0.25">
      <c r="J81" s="15"/>
    </row>
    <row r="82" spans="10:10" x14ac:dyDescent="0.25">
      <c r="J82" s="15"/>
    </row>
    <row r="83" spans="10:10" x14ac:dyDescent="0.25">
      <c r="J83" s="15"/>
    </row>
    <row r="84" spans="10:10" x14ac:dyDescent="0.25">
      <c r="J84" s="15"/>
    </row>
    <row r="85" spans="10:10" x14ac:dyDescent="0.25">
      <c r="J85" s="15"/>
    </row>
    <row r="86" spans="10:10" x14ac:dyDescent="0.25">
      <c r="J86" s="15"/>
    </row>
    <row r="87" spans="10:10" x14ac:dyDescent="0.25">
      <c r="J87" s="15"/>
    </row>
    <row r="88" spans="10:10" x14ac:dyDescent="0.25">
      <c r="J88" s="15"/>
    </row>
    <row r="89" spans="10:10" x14ac:dyDescent="0.25">
      <c r="J89" s="15"/>
    </row>
    <row r="90" spans="10:10" x14ac:dyDescent="0.25">
      <c r="J90" s="15"/>
    </row>
    <row r="91" spans="10:10" x14ac:dyDescent="0.25">
      <c r="J91" s="15"/>
    </row>
    <row r="92" spans="10:10" x14ac:dyDescent="0.25">
      <c r="J92" s="15"/>
    </row>
    <row r="93" spans="10:10" x14ac:dyDescent="0.25">
      <c r="J93" s="15"/>
    </row>
    <row r="94" spans="10:10" x14ac:dyDescent="0.25">
      <c r="J94" s="15"/>
    </row>
    <row r="95" spans="10:10" x14ac:dyDescent="0.25">
      <c r="J95" s="15"/>
    </row>
    <row r="96" spans="10:10" x14ac:dyDescent="0.25">
      <c r="J96" s="15"/>
    </row>
    <row r="97" spans="10:10" x14ac:dyDescent="0.25">
      <c r="J97" s="15"/>
    </row>
    <row r="98" spans="10:10" x14ac:dyDescent="0.25">
      <c r="J98" s="15"/>
    </row>
    <row r="99" spans="10:10" x14ac:dyDescent="0.25">
      <c r="J99" s="15"/>
    </row>
    <row r="100" spans="10:10" x14ac:dyDescent="0.25">
      <c r="J100" s="15"/>
    </row>
    <row r="101" spans="10:10" x14ac:dyDescent="0.25">
      <c r="J101" s="15"/>
    </row>
    <row r="102" spans="10:10" x14ac:dyDescent="0.25">
      <c r="J102" s="15"/>
    </row>
  </sheetData>
  <sheetProtection sheet="1" objects="1" scenarios="1"/>
  <protectedRanges>
    <protectedRange sqref="D5 C6:C7 D10:D11 B2:B4 C15" name="Range1"/>
    <protectedRange sqref="H1:J1048576" name="Range2"/>
  </protectedRanges>
  <dataValidations count="7">
    <dataValidation type="list" allowBlank="1" showInputMessage="1" showErrorMessage="1" sqref="C7">
      <formula1>protic</formula1>
    </dataValidation>
    <dataValidation type="decimal" allowBlank="1" showInputMessage="1" showErrorMessage="1" sqref="D11">
      <formula1>0.05</formula1>
      <formula2>1</formula2>
    </dataValidation>
    <dataValidation type="decimal" operator="lessThanOrEqual" allowBlank="1" showInputMessage="1" showErrorMessage="1" error="Max Vol = 2 x Veq" sqref="D10">
      <formula1>2*D8</formula1>
    </dataValidation>
    <dataValidation type="list" allowBlank="1" showInputMessage="1" showErrorMessage="1" sqref="D5">
      <formula1>"10.0, 25.0"</formula1>
    </dataValidation>
    <dataValidation type="decimal" operator="lessThan" allowBlank="1" showInputMessage="1" showErrorMessage="1" error="Ka / Kb should be a very small number." sqref="B4">
      <formula1>0.1</formula1>
    </dataValidation>
    <dataValidation type="decimal" allowBlank="1" showInputMessage="1" showErrorMessage="1" sqref="B2:B3">
      <formula1>0</formula1>
      <formula2>2</formula2>
    </dataValidation>
    <dataValidation type="list" allowBlank="1" showInputMessage="1" showErrorMessage="1" sqref="C15">
      <formula1>indicator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3" r:id="rId4" name="CommandButton1">
          <controlPr defaultSize="0" autoLine="0" r:id="rId5">
            <anchor moveWithCells="1">
              <from>
                <xdr:col>0</xdr:col>
                <xdr:colOff>66675</xdr:colOff>
                <xdr:row>18</xdr:row>
                <xdr:rowOff>0</xdr:rowOff>
              </from>
              <to>
                <xdr:col>1</xdr:col>
                <xdr:colOff>0</xdr:colOff>
                <xdr:row>19</xdr:row>
                <xdr:rowOff>171450</xdr:rowOff>
              </to>
            </anchor>
          </controlPr>
        </control>
      </mc:Choice>
      <mc:Fallback>
        <control shapeId="5133" r:id="rId4" name="CommandButton1"/>
      </mc:Fallback>
    </mc:AlternateContent>
    <mc:AlternateContent xmlns:mc="http://schemas.openxmlformats.org/markup-compatibility/2006">
      <mc:Choice Requires="x14">
        <control shapeId="5134" r:id="rId6" name="CommandButton2">
          <controlPr defaultSize="0" autoLine="0" r:id="rId7">
            <anchor moveWithCells="1">
              <from>
                <xdr:col>0</xdr:col>
                <xdr:colOff>66675</xdr:colOff>
                <xdr:row>16</xdr:row>
                <xdr:rowOff>0</xdr:rowOff>
              </from>
              <to>
                <xdr:col>1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5134" r:id="rId6" name="CommandButton2"/>
      </mc:Fallback>
    </mc:AlternateContent>
    <mc:AlternateContent xmlns:mc="http://schemas.openxmlformats.org/markup-compatibility/2006">
      <mc:Choice Requires="x14">
        <control shapeId="5135" r:id="rId8" name="CommandButton3">
          <controlPr defaultSize="0" autoLine="0" r:id="rId9">
            <anchor moveWithCells="1">
              <from>
                <xdr:col>0</xdr:col>
                <xdr:colOff>66675</xdr:colOff>
                <xdr:row>13</xdr:row>
                <xdr:rowOff>0</xdr:rowOff>
              </from>
              <to>
                <xdr:col>1</xdr:col>
                <xdr:colOff>0</xdr:colOff>
                <xdr:row>15</xdr:row>
                <xdr:rowOff>161925</xdr:rowOff>
              </to>
            </anchor>
          </controlPr>
        </control>
      </mc:Choice>
      <mc:Fallback>
        <control shapeId="5135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102"/>
  <sheetViews>
    <sheetView workbookViewId="0">
      <selection activeCell="G15" sqref="G15"/>
    </sheetView>
  </sheetViews>
  <sheetFormatPr defaultRowHeight="15" x14ac:dyDescent="0.25"/>
  <cols>
    <col min="1" max="1" width="17.140625" customWidth="1"/>
    <col min="2" max="2" width="10.7109375" customWidth="1"/>
    <col min="3" max="3" width="21.42578125" customWidth="1"/>
    <col min="8" max="9" width="9.140625" style="15"/>
    <col min="10" max="10" width="10" style="17" customWidth="1"/>
  </cols>
  <sheetData>
    <row r="1" spans="1:10" s="1" customFormat="1" ht="31.5" x14ac:dyDescent="0.35">
      <c r="A1" s="7" t="s">
        <v>1</v>
      </c>
      <c r="B1" s="8" t="s">
        <v>6</v>
      </c>
      <c r="C1" s="7" t="s">
        <v>2</v>
      </c>
      <c r="D1" s="8" t="s">
        <v>5</v>
      </c>
      <c r="H1" s="13" t="s">
        <v>17</v>
      </c>
      <c r="I1" s="13" t="s">
        <v>0</v>
      </c>
      <c r="J1" s="13" t="s">
        <v>31</v>
      </c>
    </row>
    <row r="2" spans="1:10" ht="17.25" x14ac:dyDescent="0.25">
      <c r="A2" t="s">
        <v>3</v>
      </c>
      <c r="B2" s="3">
        <v>1</v>
      </c>
      <c r="C2" t="s">
        <v>34</v>
      </c>
      <c r="H2" s="15">
        <v>0</v>
      </c>
      <c r="I2" s="16">
        <f>pHSB(B3*IF(C6="diprotic",2,1))</f>
        <v>14</v>
      </c>
      <c r="J2" s="15" t="s">
        <v>6</v>
      </c>
    </row>
    <row r="3" spans="1:10" ht="17.25" x14ac:dyDescent="0.25">
      <c r="A3" t="s">
        <v>4</v>
      </c>
      <c r="B3" s="3">
        <v>1</v>
      </c>
      <c r="C3" t="s">
        <v>34</v>
      </c>
      <c r="J3" s="15"/>
    </row>
    <row r="4" spans="1:10" ht="17.25" x14ac:dyDescent="0.25">
      <c r="A4" t="s">
        <v>18</v>
      </c>
      <c r="B4" s="9">
        <v>1.2999999999999999E-5</v>
      </c>
      <c r="C4" t="s">
        <v>34</v>
      </c>
      <c r="J4" s="15"/>
    </row>
    <row r="5" spans="1:10" ht="17.25" x14ac:dyDescent="0.25">
      <c r="A5" s="6" t="s">
        <v>9</v>
      </c>
      <c r="B5" s="6" t="str">
        <f>B1</f>
        <v>SB</v>
      </c>
      <c r="C5" t="s">
        <v>15</v>
      </c>
      <c r="D5" s="5">
        <v>25</v>
      </c>
      <c r="E5" t="s">
        <v>33</v>
      </c>
      <c r="J5" s="15"/>
    </row>
    <row r="6" spans="1:10" x14ac:dyDescent="0.25">
      <c r="A6" s="6" t="str">
        <f>B5</f>
        <v>SB</v>
      </c>
      <c r="B6" s="6" t="s">
        <v>10</v>
      </c>
      <c r="C6" s="4" t="s">
        <v>11</v>
      </c>
      <c r="J6" s="15"/>
    </row>
    <row r="7" spans="1:10" x14ac:dyDescent="0.25">
      <c r="A7" s="6" t="str">
        <f>D1</f>
        <v>WA</v>
      </c>
      <c r="B7" s="6" t="s">
        <v>10</v>
      </c>
      <c r="C7" s="6" t="s">
        <v>11</v>
      </c>
      <c r="J7" s="15"/>
    </row>
    <row r="8" spans="1:10" ht="17.25" x14ac:dyDescent="0.25">
      <c r="A8" s="6" t="s">
        <v>9</v>
      </c>
      <c r="B8" s="6" t="str">
        <f>D1</f>
        <v>WA</v>
      </c>
      <c r="C8" t="s">
        <v>14</v>
      </c>
      <c r="D8" s="10">
        <f>B3*D5*IF(C6="monoprotic",1,2)/(B2*IF(C7="monoprotic",1,2))</f>
        <v>25</v>
      </c>
      <c r="E8" t="s">
        <v>33</v>
      </c>
      <c r="J8" s="15"/>
    </row>
    <row r="9" spans="1:10" x14ac:dyDescent="0.25">
      <c r="J9" s="15"/>
    </row>
    <row r="10" spans="1:10" ht="17.25" x14ac:dyDescent="0.25">
      <c r="A10" t="s">
        <v>20</v>
      </c>
      <c r="D10" s="3">
        <v>50</v>
      </c>
      <c r="E10" t="s">
        <v>33</v>
      </c>
      <c r="J10" s="15"/>
    </row>
    <row r="11" spans="1:10" ht="17.25" x14ac:dyDescent="0.25">
      <c r="A11" t="s">
        <v>16</v>
      </c>
      <c r="D11" s="3">
        <v>1</v>
      </c>
      <c r="E11" t="s">
        <v>33</v>
      </c>
      <c r="J11" s="15"/>
    </row>
    <row r="12" spans="1:10" x14ac:dyDescent="0.25">
      <c r="A12" t="s">
        <v>21</v>
      </c>
      <c r="D12" s="11">
        <f>INT(D10/D11)</f>
        <v>50</v>
      </c>
      <c r="J12" s="15"/>
    </row>
    <row r="13" spans="1:10" x14ac:dyDescent="0.25">
      <c r="J13" s="15"/>
    </row>
    <row r="14" spans="1:10" x14ac:dyDescent="0.25">
      <c r="C14" s="2" t="s">
        <v>40</v>
      </c>
      <c r="J14" s="15"/>
    </row>
    <row r="15" spans="1:10" x14ac:dyDescent="0.25">
      <c r="C15" s="4" t="s">
        <v>44</v>
      </c>
      <c r="J15" s="15"/>
    </row>
    <row r="16" spans="1:10" ht="15.75" thickBot="1" x14ac:dyDescent="0.3">
      <c r="J16" s="15"/>
    </row>
    <row r="17" spans="3:10" ht="15.75" thickTop="1" x14ac:dyDescent="0.25">
      <c r="C17" s="18" t="s">
        <v>46</v>
      </c>
      <c r="D17" s="19">
        <f>INDEX(H:H, COUNTA(H:H), 1)</f>
        <v>0</v>
      </c>
      <c r="J17" s="15"/>
    </row>
    <row r="18" spans="3:10" x14ac:dyDescent="0.25">
      <c r="C18" s="20" t="s">
        <v>45</v>
      </c>
      <c r="D18" s="21">
        <f>INDEX(I:I, COUNTA(I:I), 1)</f>
        <v>14</v>
      </c>
      <c r="J18" s="15"/>
    </row>
    <row r="19" spans="3:10" x14ac:dyDescent="0.25">
      <c r="C19" s="22" t="s">
        <v>47</v>
      </c>
      <c r="D19" s="25" t="str">
        <f>IF(C15="none","NA",IF(C15="phenolphthalein",IF(D18&gt;8,IF(D18&gt;10,"Red","Pink"),"Colourless"),IF(C15="screened methyl orange",IF(D18&gt;3,IF(D18&gt;4,"Green","Grey"),"Purple"))))</f>
        <v>NA</v>
      </c>
      <c r="J19" s="15"/>
    </row>
    <row r="20" spans="3:10" ht="15.75" thickBot="1" x14ac:dyDescent="0.3">
      <c r="C20" s="23" t="s">
        <v>48</v>
      </c>
      <c r="D20" s="24" t="str">
        <f>INDEX(J:J, COUNTA(J:J), 1)</f>
        <v>SB</v>
      </c>
      <c r="J20" s="15"/>
    </row>
    <row r="21" spans="3:10" ht="15.75" thickTop="1" x14ac:dyDescent="0.25">
      <c r="J21" s="15"/>
    </row>
    <row r="22" spans="3:10" x14ac:dyDescent="0.25">
      <c r="J22" s="15"/>
    </row>
    <row r="23" spans="3:10" x14ac:dyDescent="0.25">
      <c r="J23" s="15"/>
    </row>
    <row r="24" spans="3:10" x14ac:dyDescent="0.25">
      <c r="J24" s="15"/>
    </row>
    <row r="25" spans="3:10" x14ac:dyDescent="0.25">
      <c r="J25" s="15"/>
    </row>
    <row r="26" spans="3:10" x14ac:dyDescent="0.25">
      <c r="J26" s="15"/>
    </row>
    <row r="27" spans="3:10" x14ac:dyDescent="0.25">
      <c r="J27" s="15"/>
    </row>
    <row r="28" spans="3:10" x14ac:dyDescent="0.25">
      <c r="J28" s="15"/>
    </row>
    <row r="29" spans="3:10" x14ac:dyDescent="0.25">
      <c r="J29" s="15"/>
    </row>
    <row r="30" spans="3:10" x14ac:dyDescent="0.25">
      <c r="J30" s="15"/>
    </row>
    <row r="31" spans="3:10" x14ac:dyDescent="0.25">
      <c r="J31" s="15"/>
    </row>
    <row r="32" spans="3:10" x14ac:dyDescent="0.25">
      <c r="J32" s="15"/>
    </row>
    <row r="33" spans="10:10" x14ac:dyDescent="0.25">
      <c r="J33" s="15"/>
    </row>
    <row r="34" spans="10:10" x14ac:dyDescent="0.25">
      <c r="J34" s="15"/>
    </row>
    <row r="35" spans="10:10" x14ac:dyDescent="0.25">
      <c r="J35" s="15"/>
    </row>
    <row r="36" spans="10:10" x14ac:dyDescent="0.25">
      <c r="J36" s="15"/>
    </row>
    <row r="37" spans="10:10" x14ac:dyDescent="0.25">
      <c r="J37" s="15"/>
    </row>
    <row r="38" spans="10:10" x14ac:dyDescent="0.25">
      <c r="J38" s="15"/>
    </row>
    <row r="39" spans="10:10" x14ac:dyDescent="0.25">
      <c r="J39" s="15"/>
    </row>
    <row r="40" spans="10:10" x14ac:dyDescent="0.25">
      <c r="J40" s="15"/>
    </row>
    <row r="41" spans="10:10" x14ac:dyDescent="0.25">
      <c r="J41" s="15"/>
    </row>
    <row r="42" spans="10:10" x14ac:dyDescent="0.25">
      <c r="J42" s="15"/>
    </row>
    <row r="43" spans="10:10" x14ac:dyDescent="0.25">
      <c r="J43" s="15"/>
    </row>
    <row r="44" spans="10:10" x14ac:dyDescent="0.25">
      <c r="J44" s="15"/>
    </row>
    <row r="45" spans="10:10" x14ac:dyDescent="0.25">
      <c r="J45" s="15"/>
    </row>
    <row r="46" spans="10:10" x14ac:dyDescent="0.25">
      <c r="J46" s="15"/>
    </row>
    <row r="47" spans="10:10" x14ac:dyDescent="0.25">
      <c r="J47" s="15"/>
    </row>
    <row r="48" spans="10:10" x14ac:dyDescent="0.25">
      <c r="J48" s="15"/>
    </row>
    <row r="49" spans="10:10" x14ac:dyDescent="0.25">
      <c r="J49" s="15"/>
    </row>
    <row r="50" spans="10:10" x14ac:dyDescent="0.25">
      <c r="J50" s="15"/>
    </row>
    <row r="51" spans="10:10" x14ac:dyDescent="0.25">
      <c r="J51" s="15"/>
    </row>
    <row r="52" spans="10:10" x14ac:dyDescent="0.25">
      <c r="J52" s="15"/>
    </row>
    <row r="53" spans="10:10" x14ac:dyDescent="0.25">
      <c r="J53" s="15"/>
    </row>
    <row r="54" spans="10:10" x14ac:dyDescent="0.25">
      <c r="J54" s="15"/>
    </row>
    <row r="55" spans="10:10" x14ac:dyDescent="0.25">
      <c r="J55" s="15"/>
    </row>
    <row r="56" spans="10:10" x14ac:dyDescent="0.25">
      <c r="J56" s="15"/>
    </row>
    <row r="57" spans="10:10" x14ac:dyDescent="0.25">
      <c r="J57" s="15"/>
    </row>
    <row r="58" spans="10:10" x14ac:dyDescent="0.25">
      <c r="J58" s="15"/>
    </row>
    <row r="59" spans="10:10" x14ac:dyDescent="0.25">
      <c r="J59" s="15"/>
    </row>
    <row r="60" spans="10:10" x14ac:dyDescent="0.25">
      <c r="J60" s="15"/>
    </row>
    <row r="61" spans="10:10" x14ac:dyDescent="0.25">
      <c r="J61" s="15"/>
    </row>
    <row r="62" spans="10:10" x14ac:dyDescent="0.25">
      <c r="J62" s="15"/>
    </row>
    <row r="63" spans="10:10" x14ac:dyDescent="0.25">
      <c r="J63" s="15"/>
    </row>
    <row r="64" spans="10:10" x14ac:dyDescent="0.25">
      <c r="J64" s="15"/>
    </row>
    <row r="65" spans="10:10" x14ac:dyDescent="0.25">
      <c r="J65" s="15"/>
    </row>
    <row r="66" spans="10:10" x14ac:dyDescent="0.25">
      <c r="J66" s="15"/>
    </row>
    <row r="67" spans="10:10" x14ac:dyDescent="0.25">
      <c r="J67" s="15"/>
    </row>
    <row r="68" spans="10:10" x14ac:dyDescent="0.25">
      <c r="J68" s="15"/>
    </row>
    <row r="69" spans="10:10" x14ac:dyDescent="0.25">
      <c r="J69" s="15"/>
    </row>
    <row r="70" spans="10:10" x14ac:dyDescent="0.25">
      <c r="J70" s="15"/>
    </row>
    <row r="71" spans="10:10" x14ac:dyDescent="0.25">
      <c r="J71" s="15"/>
    </row>
    <row r="72" spans="10:10" x14ac:dyDescent="0.25">
      <c r="J72" s="15"/>
    </row>
    <row r="73" spans="10:10" x14ac:dyDescent="0.25">
      <c r="J73" s="15"/>
    </row>
    <row r="74" spans="10:10" x14ac:dyDescent="0.25">
      <c r="J74" s="15"/>
    </row>
    <row r="75" spans="10:10" x14ac:dyDescent="0.25">
      <c r="J75" s="15"/>
    </row>
    <row r="76" spans="10:10" x14ac:dyDescent="0.25">
      <c r="J76" s="15"/>
    </row>
    <row r="77" spans="10:10" x14ac:dyDescent="0.25">
      <c r="J77" s="15"/>
    </row>
    <row r="78" spans="10:10" x14ac:dyDescent="0.25">
      <c r="J78" s="15"/>
    </row>
    <row r="79" spans="10:10" x14ac:dyDescent="0.25">
      <c r="J79" s="15"/>
    </row>
    <row r="80" spans="10:10" x14ac:dyDescent="0.25">
      <c r="J80" s="15"/>
    </row>
    <row r="81" spans="10:10" x14ac:dyDescent="0.25">
      <c r="J81" s="15"/>
    </row>
    <row r="82" spans="10:10" x14ac:dyDescent="0.25">
      <c r="J82" s="15"/>
    </row>
    <row r="83" spans="10:10" x14ac:dyDescent="0.25">
      <c r="J83" s="15"/>
    </row>
    <row r="84" spans="10:10" x14ac:dyDescent="0.25">
      <c r="J84" s="15"/>
    </row>
    <row r="85" spans="10:10" x14ac:dyDescent="0.25">
      <c r="J85" s="15"/>
    </row>
    <row r="86" spans="10:10" x14ac:dyDescent="0.25">
      <c r="J86" s="15"/>
    </row>
    <row r="87" spans="10:10" x14ac:dyDescent="0.25">
      <c r="J87" s="15"/>
    </row>
    <row r="88" spans="10:10" x14ac:dyDescent="0.25">
      <c r="J88" s="15"/>
    </row>
    <row r="89" spans="10:10" x14ac:dyDescent="0.25">
      <c r="J89" s="15"/>
    </row>
    <row r="90" spans="10:10" x14ac:dyDescent="0.25">
      <c r="J90" s="15"/>
    </row>
    <row r="91" spans="10:10" x14ac:dyDescent="0.25">
      <c r="J91" s="15"/>
    </row>
    <row r="92" spans="10:10" x14ac:dyDescent="0.25">
      <c r="J92" s="15"/>
    </row>
    <row r="93" spans="10:10" x14ac:dyDescent="0.25">
      <c r="J93" s="15"/>
    </row>
    <row r="94" spans="10:10" x14ac:dyDescent="0.25">
      <c r="J94" s="15"/>
    </row>
    <row r="95" spans="10:10" x14ac:dyDescent="0.25">
      <c r="J95" s="15"/>
    </row>
    <row r="96" spans="10:10" x14ac:dyDescent="0.25">
      <c r="J96" s="15"/>
    </row>
    <row r="97" spans="10:10" x14ac:dyDescent="0.25">
      <c r="J97" s="15"/>
    </row>
    <row r="98" spans="10:10" x14ac:dyDescent="0.25">
      <c r="J98" s="15"/>
    </row>
    <row r="99" spans="10:10" x14ac:dyDescent="0.25">
      <c r="J99" s="15"/>
    </row>
    <row r="100" spans="10:10" x14ac:dyDescent="0.25">
      <c r="J100" s="15"/>
    </row>
    <row r="101" spans="10:10" x14ac:dyDescent="0.25">
      <c r="J101" s="15"/>
    </row>
    <row r="102" spans="10:10" x14ac:dyDescent="0.25">
      <c r="J102" s="15"/>
    </row>
  </sheetData>
  <sheetProtection sheet="1" objects="1" scenarios="1"/>
  <protectedRanges>
    <protectedRange sqref="D5 C6:C7 D10:D11 B2:B4 C15" name="Range1"/>
    <protectedRange sqref="H1:J1048576" name="Range2"/>
  </protectedRanges>
  <dataValidations count="7">
    <dataValidation type="list" allowBlank="1" showInputMessage="1" showErrorMessage="1" sqref="C6">
      <formula1>protic</formula1>
    </dataValidation>
    <dataValidation type="decimal" allowBlank="1" showInputMessage="1" showErrorMessage="1" sqref="D11">
      <formula1>0.05</formula1>
      <formula2>1</formula2>
    </dataValidation>
    <dataValidation type="decimal" operator="lessThanOrEqual" allowBlank="1" showInputMessage="1" showErrorMessage="1" error="Max Vol = 2 x Veq" sqref="D10">
      <formula1>2*D8</formula1>
    </dataValidation>
    <dataValidation type="list" allowBlank="1" showInputMessage="1" showErrorMessage="1" sqref="D5">
      <formula1>"10.0, 25.0"</formula1>
    </dataValidation>
    <dataValidation type="decimal" operator="lessThan" allowBlank="1" showInputMessage="1" showErrorMessage="1" error="Ka / Kb should be a very small number." sqref="B4">
      <formula1>0.1</formula1>
    </dataValidation>
    <dataValidation type="decimal" allowBlank="1" showInputMessage="1" showErrorMessage="1" sqref="B2:B3">
      <formula1>0</formula1>
      <formula2>2</formula2>
    </dataValidation>
    <dataValidation type="list" allowBlank="1" showInputMessage="1" showErrorMessage="1" sqref="C15">
      <formula1>indicator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4" r:id="rId4" name="CommandButton1">
          <controlPr defaultSize="0" autoLine="0" r:id="rId5">
            <anchor moveWithCells="1">
              <from>
                <xdr:col>0</xdr:col>
                <xdr:colOff>66675</xdr:colOff>
                <xdr:row>18</xdr:row>
                <xdr:rowOff>0</xdr:rowOff>
              </from>
              <to>
                <xdr:col>1</xdr:col>
                <xdr:colOff>0</xdr:colOff>
                <xdr:row>19</xdr:row>
                <xdr:rowOff>171450</xdr:rowOff>
              </to>
            </anchor>
          </controlPr>
        </control>
      </mc:Choice>
      <mc:Fallback>
        <control shapeId="9224" r:id="rId4" name="CommandButton1"/>
      </mc:Fallback>
    </mc:AlternateContent>
    <mc:AlternateContent xmlns:mc="http://schemas.openxmlformats.org/markup-compatibility/2006">
      <mc:Choice Requires="x14">
        <control shapeId="9225" r:id="rId6" name="CommandButton3">
          <controlPr defaultSize="0" autoLine="0" r:id="rId7">
            <anchor moveWithCells="1">
              <from>
                <xdr:col>0</xdr:col>
                <xdr:colOff>66675</xdr:colOff>
                <xdr:row>16</xdr:row>
                <xdr:rowOff>0</xdr:rowOff>
              </from>
              <to>
                <xdr:col>1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9225" r:id="rId6" name="CommandButton3"/>
      </mc:Fallback>
    </mc:AlternateContent>
    <mc:AlternateContent xmlns:mc="http://schemas.openxmlformats.org/markup-compatibility/2006">
      <mc:Choice Requires="x14">
        <control shapeId="9226" r:id="rId8" name="CommandButton2">
          <controlPr defaultSize="0" autoLine="0" r:id="rId9">
            <anchor moveWithCells="1">
              <from>
                <xdr:col>0</xdr:col>
                <xdr:colOff>66675</xdr:colOff>
                <xdr:row>13</xdr:row>
                <xdr:rowOff>0</xdr:rowOff>
              </from>
              <to>
                <xdr:col>1</xdr:col>
                <xdr:colOff>0</xdr:colOff>
                <xdr:row>15</xdr:row>
                <xdr:rowOff>161925</xdr:rowOff>
              </to>
            </anchor>
          </controlPr>
        </control>
      </mc:Choice>
      <mc:Fallback>
        <control shapeId="9226" r:id="rId8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02"/>
  <sheetViews>
    <sheetView workbookViewId="0">
      <selection activeCell="G25" sqref="G25"/>
    </sheetView>
  </sheetViews>
  <sheetFormatPr defaultRowHeight="15" x14ac:dyDescent="0.25"/>
  <cols>
    <col min="1" max="1" width="17.140625" customWidth="1"/>
    <col min="2" max="2" width="10.7109375" customWidth="1"/>
    <col min="3" max="3" width="21.42578125" customWidth="1"/>
    <col min="8" max="9" width="9.140625" style="15"/>
    <col min="10" max="10" width="10" style="17" customWidth="1"/>
  </cols>
  <sheetData>
    <row r="1" spans="1:10" s="1" customFormat="1" ht="31.5" x14ac:dyDescent="0.35">
      <c r="A1" s="7" t="s">
        <v>1</v>
      </c>
      <c r="B1" s="8" t="s">
        <v>7</v>
      </c>
      <c r="C1" s="7" t="s">
        <v>2</v>
      </c>
      <c r="D1" s="8" t="s">
        <v>8</v>
      </c>
      <c r="H1" s="13" t="s">
        <v>17</v>
      </c>
      <c r="I1" s="13" t="s">
        <v>0</v>
      </c>
      <c r="J1" s="13" t="s">
        <v>31</v>
      </c>
    </row>
    <row r="2" spans="1:10" ht="17.25" x14ac:dyDescent="0.25">
      <c r="A2" t="s">
        <v>3</v>
      </c>
      <c r="B2" s="3">
        <v>1</v>
      </c>
      <c r="C2" t="s">
        <v>34</v>
      </c>
      <c r="H2" s="15">
        <v>0</v>
      </c>
      <c r="I2" s="16">
        <f>pHSA(B2*IF(C6="diprotic",2,1))</f>
        <v>0</v>
      </c>
      <c r="J2" s="15" t="s">
        <v>7</v>
      </c>
    </row>
    <row r="3" spans="1:10" ht="17.25" x14ac:dyDescent="0.25">
      <c r="A3" t="s">
        <v>4</v>
      </c>
      <c r="B3" s="3">
        <v>1</v>
      </c>
      <c r="C3" t="s">
        <v>34</v>
      </c>
      <c r="J3" s="15"/>
    </row>
    <row r="4" spans="1:10" ht="17.25" x14ac:dyDescent="0.25">
      <c r="A4" t="s">
        <v>19</v>
      </c>
      <c r="B4" s="9">
        <v>1.8E-5</v>
      </c>
      <c r="C4" t="s">
        <v>34</v>
      </c>
      <c r="J4" s="15"/>
    </row>
    <row r="5" spans="1:10" ht="17.25" x14ac:dyDescent="0.25">
      <c r="A5" s="6" t="s">
        <v>9</v>
      </c>
      <c r="B5" s="6" t="str">
        <f>B1</f>
        <v>SA</v>
      </c>
      <c r="C5" t="s">
        <v>15</v>
      </c>
      <c r="D5" s="5">
        <v>25</v>
      </c>
      <c r="E5" t="s">
        <v>33</v>
      </c>
      <c r="J5" s="15"/>
    </row>
    <row r="6" spans="1:10" x14ac:dyDescent="0.25">
      <c r="A6" s="6" t="str">
        <f>B5</f>
        <v>SA</v>
      </c>
      <c r="B6" s="6" t="s">
        <v>10</v>
      </c>
      <c r="C6" s="4" t="s">
        <v>11</v>
      </c>
      <c r="J6" s="15"/>
    </row>
    <row r="7" spans="1:10" x14ac:dyDescent="0.25">
      <c r="A7" s="6" t="str">
        <f>D1</f>
        <v>WB</v>
      </c>
      <c r="B7" s="6" t="s">
        <v>10</v>
      </c>
      <c r="C7" s="6" t="s">
        <v>11</v>
      </c>
      <c r="J7" s="15"/>
    </row>
    <row r="8" spans="1:10" ht="17.25" x14ac:dyDescent="0.25">
      <c r="A8" s="6" t="s">
        <v>9</v>
      </c>
      <c r="B8" s="6" t="str">
        <f>D1</f>
        <v>WB</v>
      </c>
      <c r="C8" t="s">
        <v>14</v>
      </c>
      <c r="D8" s="10">
        <f>B2*D5*IF(C6="monoprotic",1,2)/(B3*IF(C7="monoprotic",1,2))</f>
        <v>25</v>
      </c>
      <c r="E8" t="s">
        <v>33</v>
      </c>
      <c r="J8" s="15"/>
    </row>
    <row r="9" spans="1:10" x14ac:dyDescent="0.25">
      <c r="J9" s="15"/>
    </row>
    <row r="10" spans="1:10" ht="17.25" x14ac:dyDescent="0.25">
      <c r="A10" t="s">
        <v>20</v>
      </c>
      <c r="D10" s="3">
        <v>50</v>
      </c>
      <c r="E10" t="s">
        <v>33</v>
      </c>
      <c r="J10" s="15"/>
    </row>
    <row r="11" spans="1:10" ht="17.25" x14ac:dyDescent="0.25">
      <c r="A11" t="s">
        <v>16</v>
      </c>
      <c r="D11" s="3">
        <v>1</v>
      </c>
      <c r="E11" t="s">
        <v>33</v>
      </c>
      <c r="J11" s="15"/>
    </row>
    <row r="12" spans="1:10" x14ac:dyDescent="0.25">
      <c r="A12" t="s">
        <v>21</v>
      </c>
      <c r="D12" s="11">
        <f>INT(D10/D11)</f>
        <v>50</v>
      </c>
      <c r="J12" s="15"/>
    </row>
    <row r="13" spans="1:10" x14ac:dyDescent="0.25">
      <c r="J13" s="15"/>
    </row>
    <row r="14" spans="1:10" x14ac:dyDescent="0.25">
      <c r="C14" s="2" t="s">
        <v>40</v>
      </c>
      <c r="J14" s="15"/>
    </row>
    <row r="15" spans="1:10" x14ac:dyDescent="0.25">
      <c r="C15" s="4" t="s">
        <v>44</v>
      </c>
      <c r="J15" s="15"/>
    </row>
    <row r="16" spans="1:10" ht="15.75" thickBot="1" x14ac:dyDescent="0.3">
      <c r="J16" s="15"/>
    </row>
    <row r="17" spans="3:10" ht="15.75" thickTop="1" x14ac:dyDescent="0.25">
      <c r="C17" s="18" t="s">
        <v>46</v>
      </c>
      <c r="D17" s="19">
        <f>INDEX(H:H, COUNTA(H:H), 1)</f>
        <v>0</v>
      </c>
      <c r="J17" s="15"/>
    </row>
    <row r="18" spans="3:10" x14ac:dyDescent="0.25">
      <c r="C18" s="20" t="s">
        <v>45</v>
      </c>
      <c r="D18" s="21">
        <f>INDEX(I:I, COUNTA(I:I), 1)</f>
        <v>0</v>
      </c>
      <c r="J18" s="15"/>
    </row>
    <row r="19" spans="3:10" x14ac:dyDescent="0.25">
      <c r="C19" s="22" t="s">
        <v>47</v>
      </c>
      <c r="D19" s="25" t="str">
        <f>IF(C15="none","NA",IF(C15="phenolphthalein",IF(D18&gt;8,IF(D18&gt;10,"Red","Pink"),"Colourless"),IF(C15="screened methyl orange",IF(D18&gt;3,IF(D18&gt;4,"Green","Grey"),"Purple"))))</f>
        <v>NA</v>
      </c>
      <c r="J19" s="15"/>
    </row>
    <row r="20" spans="3:10" ht="15.75" thickBot="1" x14ac:dyDescent="0.3">
      <c r="C20" s="23" t="s">
        <v>48</v>
      </c>
      <c r="D20" s="24" t="str">
        <f>INDEX(J:J, COUNTA(J:J), 1)</f>
        <v>SA</v>
      </c>
      <c r="J20" s="15"/>
    </row>
    <row r="21" spans="3:10" ht="15.75" thickTop="1" x14ac:dyDescent="0.25">
      <c r="J21" s="15"/>
    </row>
    <row r="22" spans="3:10" x14ac:dyDescent="0.25">
      <c r="J22" s="15"/>
    </row>
    <row r="23" spans="3:10" x14ac:dyDescent="0.25">
      <c r="J23" s="15"/>
    </row>
    <row r="24" spans="3:10" x14ac:dyDescent="0.25">
      <c r="J24" s="15"/>
    </row>
    <row r="25" spans="3:10" x14ac:dyDescent="0.25">
      <c r="J25" s="15"/>
    </row>
    <row r="26" spans="3:10" x14ac:dyDescent="0.25">
      <c r="J26" s="15"/>
    </row>
    <row r="27" spans="3:10" x14ac:dyDescent="0.25">
      <c r="J27" s="15"/>
    </row>
    <row r="28" spans="3:10" x14ac:dyDescent="0.25">
      <c r="J28" s="15"/>
    </row>
    <row r="29" spans="3:10" x14ac:dyDescent="0.25">
      <c r="J29" s="15"/>
    </row>
    <row r="30" spans="3:10" x14ac:dyDescent="0.25">
      <c r="J30" s="15"/>
    </row>
    <row r="31" spans="3:10" x14ac:dyDescent="0.25">
      <c r="J31" s="15"/>
    </row>
    <row r="32" spans="3:10" x14ac:dyDescent="0.25">
      <c r="J32" s="15"/>
    </row>
    <row r="33" spans="10:10" x14ac:dyDescent="0.25">
      <c r="J33" s="15"/>
    </row>
    <row r="34" spans="10:10" x14ac:dyDescent="0.25">
      <c r="J34" s="15"/>
    </row>
    <row r="35" spans="10:10" x14ac:dyDescent="0.25">
      <c r="J35" s="15"/>
    </row>
    <row r="36" spans="10:10" x14ac:dyDescent="0.25">
      <c r="J36" s="15"/>
    </row>
    <row r="37" spans="10:10" x14ac:dyDescent="0.25">
      <c r="J37" s="15"/>
    </row>
    <row r="38" spans="10:10" x14ac:dyDescent="0.25">
      <c r="J38" s="15"/>
    </row>
    <row r="39" spans="10:10" x14ac:dyDescent="0.25">
      <c r="J39" s="15"/>
    </row>
    <row r="40" spans="10:10" x14ac:dyDescent="0.25">
      <c r="J40" s="15"/>
    </row>
    <row r="41" spans="10:10" x14ac:dyDescent="0.25">
      <c r="J41" s="15"/>
    </row>
    <row r="42" spans="10:10" x14ac:dyDescent="0.25">
      <c r="J42" s="15"/>
    </row>
    <row r="43" spans="10:10" x14ac:dyDescent="0.25">
      <c r="J43" s="15"/>
    </row>
    <row r="44" spans="10:10" x14ac:dyDescent="0.25">
      <c r="J44" s="15"/>
    </row>
    <row r="45" spans="10:10" x14ac:dyDescent="0.25">
      <c r="J45" s="15"/>
    </row>
    <row r="46" spans="10:10" x14ac:dyDescent="0.25">
      <c r="J46" s="15"/>
    </row>
    <row r="47" spans="10:10" x14ac:dyDescent="0.25">
      <c r="J47" s="15"/>
    </row>
    <row r="48" spans="10:10" x14ac:dyDescent="0.25">
      <c r="J48" s="15"/>
    </row>
    <row r="49" spans="10:10" x14ac:dyDescent="0.25">
      <c r="J49" s="15"/>
    </row>
    <row r="50" spans="10:10" x14ac:dyDescent="0.25">
      <c r="J50" s="15"/>
    </row>
    <row r="51" spans="10:10" x14ac:dyDescent="0.25">
      <c r="J51" s="15"/>
    </row>
    <row r="52" spans="10:10" x14ac:dyDescent="0.25">
      <c r="J52" s="15"/>
    </row>
    <row r="53" spans="10:10" x14ac:dyDescent="0.25">
      <c r="J53" s="15"/>
    </row>
    <row r="54" spans="10:10" x14ac:dyDescent="0.25">
      <c r="J54" s="15"/>
    </row>
    <row r="55" spans="10:10" x14ac:dyDescent="0.25">
      <c r="J55" s="15"/>
    </row>
    <row r="56" spans="10:10" x14ac:dyDescent="0.25">
      <c r="J56" s="15"/>
    </row>
    <row r="57" spans="10:10" x14ac:dyDescent="0.25">
      <c r="J57" s="15"/>
    </row>
    <row r="58" spans="10:10" x14ac:dyDescent="0.25">
      <c r="J58" s="15"/>
    </row>
    <row r="59" spans="10:10" x14ac:dyDescent="0.25">
      <c r="J59" s="15"/>
    </row>
    <row r="60" spans="10:10" x14ac:dyDescent="0.25">
      <c r="J60" s="15"/>
    </row>
    <row r="61" spans="10:10" x14ac:dyDescent="0.25">
      <c r="J61" s="15"/>
    </row>
    <row r="62" spans="10:10" x14ac:dyDescent="0.25">
      <c r="J62" s="15"/>
    </row>
    <row r="63" spans="10:10" x14ac:dyDescent="0.25">
      <c r="J63" s="15"/>
    </row>
    <row r="64" spans="10:10" x14ac:dyDescent="0.25">
      <c r="J64" s="15"/>
    </row>
    <row r="65" spans="10:10" x14ac:dyDescent="0.25">
      <c r="J65" s="15"/>
    </row>
    <row r="66" spans="10:10" x14ac:dyDescent="0.25">
      <c r="J66" s="15"/>
    </row>
    <row r="67" spans="10:10" x14ac:dyDescent="0.25">
      <c r="J67" s="15"/>
    </row>
    <row r="68" spans="10:10" x14ac:dyDescent="0.25">
      <c r="J68" s="15"/>
    </row>
    <row r="69" spans="10:10" x14ac:dyDescent="0.25">
      <c r="J69" s="15"/>
    </row>
    <row r="70" spans="10:10" x14ac:dyDescent="0.25">
      <c r="J70" s="15"/>
    </row>
    <row r="71" spans="10:10" x14ac:dyDescent="0.25">
      <c r="J71" s="15"/>
    </row>
    <row r="72" spans="10:10" x14ac:dyDescent="0.25">
      <c r="J72" s="15"/>
    </row>
    <row r="73" spans="10:10" x14ac:dyDescent="0.25">
      <c r="J73" s="15"/>
    </row>
    <row r="74" spans="10:10" x14ac:dyDescent="0.25">
      <c r="J74" s="15"/>
    </row>
    <row r="75" spans="10:10" x14ac:dyDescent="0.25">
      <c r="J75" s="15"/>
    </row>
    <row r="76" spans="10:10" x14ac:dyDescent="0.25">
      <c r="J76" s="15"/>
    </row>
    <row r="77" spans="10:10" x14ac:dyDescent="0.25">
      <c r="J77" s="15"/>
    </row>
    <row r="78" spans="10:10" x14ac:dyDescent="0.25">
      <c r="J78" s="15"/>
    </row>
    <row r="79" spans="10:10" x14ac:dyDescent="0.25">
      <c r="J79" s="15"/>
    </row>
    <row r="80" spans="10:10" x14ac:dyDescent="0.25">
      <c r="J80" s="15"/>
    </row>
    <row r="81" spans="10:10" x14ac:dyDescent="0.25">
      <c r="J81" s="15"/>
    </row>
    <row r="82" spans="10:10" x14ac:dyDescent="0.25">
      <c r="J82" s="15"/>
    </row>
    <row r="83" spans="10:10" x14ac:dyDescent="0.25">
      <c r="J83" s="15"/>
    </row>
    <row r="84" spans="10:10" x14ac:dyDescent="0.25">
      <c r="J84" s="15"/>
    </row>
    <row r="85" spans="10:10" x14ac:dyDescent="0.25">
      <c r="J85" s="15"/>
    </row>
    <row r="86" spans="10:10" x14ac:dyDescent="0.25">
      <c r="J86" s="15"/>
    </row>
    <row r="87" spans="10:10" x14ac:dyDescent="0.25">
      <c r="J87" s="15"/>
    </row>
    <row r="88" spans="10:10" x14ac:dyDescent="0.25">
      <c r="J88" s="15"/>
    </row>
    <row r="89" spans="10:10" x14ac:dyDescent="0.25">
      <c r="J89" s="15"/>
    </row>
    <row r="90" spans="10:10" x14ac:dyDescent="0.25">
      <c r="J90" s="15"/>
    </row>
    <row r="91" spans="10:10" x14ac:dyDescent="0.25">
      <c r="J91" s="15"/>
    </row>
    <row r="92" spans="10:10" x14ac:dyDescent="0.25">
      <c r="J92" s="15"/>
    </row>
    <row r="93" spans="10:10" x14ac:dyDescent="0.25">
      <c r="J93" s="15"/>
    </row>
    <row r="94" spans="10:10" x14ac:dyDescent="0.25">
      <c r="J94" s="15"/>
    </row>
    <row r="95" spans="10:10" x14ac:dyDescent="0.25">
      <c r="J95" s="15"/>
    </row>
    <row r="96" spans="10:10" x14ac:dyDescent="0.25">
      <c r="J96" s="15"/>
    </row>
    <row r="97" spans="10:10" x14ac:dyDescent="0.25">
      <c r="J97" s="15"/>
    </row>
    <row r="98" spans="10:10" x14ac:dyDescent="0.25">
      <c r="J98" s="15"/>
    </row>
    <row r="99" spans="10:10" x14ac:dyDescent="0.25">
      <c r="J99" s="15"/>
    </row>
    <row r="100" spans="10:10" x14ac:dyDescent="0.25">
      <c r="J100" s="15"/>
    </row>
    <row r="101" spans="10:10" x14ac:dyDescent="0.25">
      <c r="J101" s="15"/>
    </row>
    <row r="102" spans="10:10" x14ac:dyDescent="0.25">
      <c r="J102" s="15"/>
    </row>
  </sheetData>
  <sheetProtection sheet="1" objects="1" scenarios="1"/>
  <protectedRanges>
    <protectedRange sqref="H1:J1048576" name="Range2"/>
    <protectedRange sqref="D5 C6:C7 D10:D11 B2:B4 C15" name="Range1"/>
  </protectedRanges>
  <dataValidations count="7">
    <dataValidation type="list" allowBlank="1" showInputMessage="1" showErrorMessage="1" sqref="C6">
      <formula1>protic</formula1>
    </dataValidation>
    <dataValidation type="decimal" allowBlank="1" showInputMessage="1" showErrorMessage="1" sqref="D11">
      <formula1>0.05</formula1>
      <formula2>1</formula2>
    </dataValidation>
    <dataValidation type="decimal" operator="lessThanOrEqual" allowBlank="1" showInputMessage="1" showErrorMessage="1" error="Max Vol = 2 x Veq" sqref="D10">
      <formula1>2*D8</formula1>
    </dataValidation>
    <dataValidation type="list" allowBlank="1" showInputMessage="1" showErrorMessage="1" sqref="D5">
      <formula1>"10.0, 25.0"</formula1>
    </dataValidation>
    <dataValidation type="decimal" operator="lessThan" allowBlank="1" showInputMessage="1" showErrorMessage="1" error="Ka / Kb should be a very small number." sqref="B4">
      <formula1>0.1</formula1>
    </dataValidation>
    <dataValidation type="decimal" allowBlank="1" showInputMessage="1" showErrorMessage="1" sqref="B2:B3">
      <formula1>0</formula1>
      <formula2>2</formula2>
    </dataValidation>
    <dataValidation type="list" allowBlank="1" showInputMessage="1" showErrorMessage="1" sqref="C15">
      <formula1>indicator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1" r:id="rId4" name="CommandButton1">
          <controlPr defaultSize="0" autoLine="0" r:id="rId5">
            <anchor moveWithCells="1">
              <from>
                <xdr:col>0</xdr:col>
                <xdr:colOff>66675</xdr:colOff>
                <xdr:row>18</xdr:row>
                <xdr:rowOff>0</xdr:rowOff>
              </from>
              <to>
                <xdr:col>1</xdr:col>
                <xdr:colOff>0</xdr:colOff>
                <xdr:row>19</xdr:row>
                <xdr:rowOff>171450</xdr:rowOff>
              </to>
            </anchor>
          </controlPr>
        </control>
      </mc:Choice>
      <mc:Fallback>
        <control shapeId="8201" r:id="rId4" name="CommandButton1"/>
      </mc:Fallback>
    </mc:AlternateContent>
    <mc:AlternateContent xmlns:mc="http://schemas.openxmlformats.org/markup-compatibility/2006">
      <mc:Choice Requires="x14">
        <control shapeId="8202" r:id="rId6" name="CommandButton2">
          <controlPr defaultSize="0" autoLine="0" r:id="rId7">
            <anchor moveWithCells="1">
              <from>
                <xdr:col>0</xdr:col>
                <xdr:colOff>66675</xdr:colOff>
                <xdr:row>16</xdr:row>
                <xdr:rowOff>0</xdr:rowOff>
              </from>
              <to>
                <xdr:col>1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8202" r:id="rId6" name="CommandButton2"/>
      </mc:Fallback>
    </mc:AlternateContent>
    <mc:AlternateContent xmlns:mc="http://schemas.openxmlformats.org/markup-compatibility/2006">
      <mc:Choice Requires="x14">
        <control shapeId="8203" r:id="rId8" name="CommandButton3">
          <controlPr defaultSize="0" autoLine="0" r:id="rId9">
            <anchor moveWithCells="1">
              <from>
                <xdr:col>0</xdr:col>
                <xdr:colOff>66675</xdr:colOff>
                <xdr:row>13</xdr:row>
                <xdr:rowOff>0</xdr:rowOff>
              </from>
              <to>
                <xdr:col>1</xdr:col>
                <xdr:colOff>0</xdr:colOff>
                <xdr:row>15</xdr:row>
                <xdr:rowOff>161925</xdr:rowOff>
              </to>
            </anchor>
          </controlPr>
        </control>
      </mc:Choice>
      <mc:Fallback>
        <control shapeId="8203" r:id="rId8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"/>
  <sheetViews>
    <sheetView workbookViewId="0">
      <selection activeCell="F16" sqref="F16"/>
    </sheetView>
  </sheetViews>
  <sheetFormatPr defaultRowHeight="15" x14ac:dyDescent="0.25"/>
  <sheetData>
    <row r="1" spans="1:6" x14ac:dyDescent="0.25">
      <c r="A1" s="2" t="s">
        <v>13</v>
      </c>
      <c r="B1" s="2"/>
      <c r="C1" s="2"/>
      <c r="D1" s="2"/>
      <c r="E1" s="2"/>
      <c r="F1" s="2"/>
    </row>
    <row r="2" spans="1:6" x14ac:dyDescent="0.25">
      <c r="A2" t="s">
        <v>11</v>
      </c>
    </row>
    <row r="3" spans="1:6" x14ac:dyDescent="0.25">
      <c r="A3" t="s">
        <v>12</v>
      </c>
    </row>
    <row r="5" spans="1:6" x14ac:dyDescent="0.25">
      <c r="A5" s="2" t="s">
        <v>41</v>
      </c>
    </row>
    <row r="6" spans="1:6" x14ac:dyDescent="0.25">
      <c r="A6" s="14" t="s">
        <v>44</v>
      </c>
    </row>
    <row r="7" spans="1:6" x14ac:dyDescent="0.25">
      <c r="A7" s="14" t="s">
        <v>42</v>
      </c>
    </row>
    <row r="8" spans="1:6" x14ac:dyDescent="0.25">
      <c r="A8" s="14" t="s">
        <v>43</v>
      </c>
      <c r="B8" s="2"/>
      <c r="C8" s="2"/>
      <c r="D8" s="2"/>
      <c r="E8" s="2"/>
      <c r="F8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Introduction</vt:lpstr>
      <vt:lpstr>SASB</vt:lpstr>
      <vt:lpstr>SBSA</vt:lpstr>
      <vt:lpstr>WASB</vt:lpstr>
      <vt:lpstr>WBSA</vt:lpstr>
      <vt:lpstr>SBWA</vt:lpstr>
      <vt:lpstr>SAWB</vt:lpstr>
      <vt:lpstr>Data</vt:lpstr>
      <vt:lpstr>indicator</vt:lpstr>
      <vt:lpstr>protic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Grace LEONG (MOE)</dc:creator>
  <cp:lastModifiedBy>Grace LEONG (MOE)</cp:lastModifiedBy>
  <dcterms:created xsi:type="dcterms:W3CDTF">2016-02-29T09:08:40Z</dcterms:created>
  <dcterms:modified xsi:type="dcterms:W3CDTF">2016-04-25T06:23:46Z</dcterms:modified>
</cp:coreProperties>
</file>